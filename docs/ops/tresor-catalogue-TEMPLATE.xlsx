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alogue" sheetId="1" state="visible" r:id="rId1"/>
    <sheet name="Stock 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₹&quot;#,##0"/>
    <numFmt numFmtId="165" formatCode="0.0%"/>
    <numFmt numFmtId="166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pivotButton="0" quotePrefix="0" xfId="0"/>
    <xf numFmtId="164" fontId="3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9" fontId="2" fillId="3" borderId="1" pivotButton="0" quotePrefix="0" xfId="0"/>
    <xf numFmtId="166" fontId="2" fillId="3" borderId="1" pivotButton="0" quotePrefix="0" xfId="0"/>
    <xf numFmtId="165" fontId="2" fillId="0" borderId="0" pivotButton="0" quotePrefix="0" xfId="0"/>
    <xf numFmtId="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9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D3D0"/>
        </patternFill>
      </fill>
    </dxf>
    <dxf>
      <fill>
        <patternFill patternType="solid">
          <fgColor rgb="00FBEA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34" customWidth="1" min="4" max="4"/>
    <col width="14" customWidth="1" min="5" max="5"/>
    <col width="16" customWidth="1" min="6" max="6"/>
    <col width="18" customWidth="1" min="7" max="7"/>
    <col width="12" customWidth="1" min="8" max="8"/>
    <col width="11" customWidth="1" min="9" max="9"/>
    <col width="9" customWidth="1" min="10" max="10"/>
    <col width="13" customWidth="1" min="11" max="11"/>
    <col width="13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3" customWidth="1" min="19" max="19"/>
    <col width="11" customWidth="1" min="20" max="20"/>
    <col width="9" customWidth="1" min="21" max="21"/>
    <col width="12" customWidth="1" min="22" max="22"/>
    <col width="16" customWidth="1" min="23" max="23"/>
    <col width="40" customWidth="1" min="24" max="24"/>
    <col width="13" customWidth="1" min="25" max="25"/>
    <col width="10" customWidth="1" min="26" max="26"/>
    <col width="12" customWidth="1" min="27" max="27"/>
    <col width="11" customWidth="1" min="28" max="28"/>
    <col width="40" customWidth="1" min="29" max="29"/>
  </cols>
  <sheetData>
    <row r="1" ht="28" customHeight="1">
      <c r="A1" s="1" t="inlineStr">
        <is>
          <t>Photo</t>
        </is>
      </c>
      <c r="B1" s="1" t="inlineStr">
        <is>
          <t>Product ID</t>
        </is>
      </c>
      <c r="C1" s="1" t="inlineStr">
        <is>
          <t>Supplier Code</t>
        </is>
      </c>
      <c r="D1" s="1" t="inlineStr">
        <is>
          <t>Product Name</t>
        </is>
      </c>
      <c r="E1" s="1" t="inlineStr">
        <is>
          <t>Brand</t>
        </is>
      </c>
      <c r="F1" s="1" t="inlineStr">
        <is>
          <t>Master Category</t>
        </is>
      </c>
      <c r="G1" s="1" t="inlineStr">
        <is>
          <t>Sub Category / Design</t>
        </is>
      </c>
      <c r="H1" s="1" t="inlineStr">
        <is>
          <t>Material</t>
        </is>
      </c>
      <c r="I1" s="1" t="inlineStr">
        <is>
          <t>Unit Type</t>
        </is>
      </c>
      <c r="J1" s="1" t="inlineStr">
        <is>
          <t>Bundle (m)</t>
        </is>
      </c>
      <c r="K1" s="1" t="inlineStr">
        <is>
          <t>Buying Price (₹)</t>
        </is>
      </c>
      <c r="L1" s="1" t="inlineStr">
        <is>
          <t>Selling Price (₹)</t>
        </is>
      </c>
      <c r="M1" s="1" t="inlineStr">
        <is>
          <t>MRP (₹)</t>
        </is>
      </c>
      <c r="N1" s="1" t="inlineStr">
        <is>
          <t>Margin %</t>
        </is>
      </c>
      <c r="O1" s="1" t="inlineStr">
        <is>
          <t>GST Rate</t>
        </is>
      </c>
      <c r="P1" s="1" t="inlineStr">
        <is>
          <t>HSN Code</t>
        </is>
      </c>
      <c r="Q1" s="1" t="inlineStr">
        <is>
          <t>Stock Qty</t>
        </is>
      </c>
      <c r="R1" s="1" t="inlineStr">
        <is>
          <t>Reorder Lvl</t>
        </is>
      </c>
      <c r="S1" s="1" t="inlineStr">
        <is>
          <t>Stock Status</t>
        </is>
      </c>
      <c r="T1" s="1" t="inlineStr">
        <is>
          <t>Stock per Log</t>
        </is>
      </c>
      <c r="U1" s="1" t="inlineStr">
        <is>
          <t>Log Match</t>
        </is>
      </c>
      <c r="V1" s="1" t="inlineStr">
        <is>
          <t>First Received</t>
        </is>
      </c>
      <c r="W1" s="1" t="inlineStr">
        <is>
          <t>Supplier</t>
        </is>
      </c>
      <c r="X1" s="1" t="inlineStr">
        <is>
          <t>Image URL</t>
        </is>
      </c>
      <c r="Y1" s="1" t="inlineStr">
        <is>
          <t>Photo Quality</t>
        </is>
      </c>
      <c r="Z1" s="1" t="inlineStr">
        <is>
          <t>Live on Site</t>
        </is>
      </c>
      <c r="AA1" s="1" t="inlineStr">
        <is>
          <t>Listing Status</t>
        </is>
      </c>
      <c r="AB1" s="1" t="inlineStr">
        <is>
          <t>Sticker</t>
        </is>
      </c>
      <c r="AC1" s="1" t="inlineStr">
        <is>
          <t>Notes</t>
        </is>
      </c>
    </row>
    <row r="2">
      <c r="A2" s="2" t="n"/>
      <c r="B2" s="2" t="inlineStr">
        <is>
          <t>lc-example-1</t>
        </is>
      </c>
      <c r="C2" s="2" t="inlineStr">
        <is>
          <t>HA0000</t>
        </is>
      </c>
      <c r="D2" s="2" t="inlineStr">
        <is>
          <t>Example Lace Border · Gold</t>
        </is>
      </c>
      <c r="E2" s="2" t="inlineStr">
        <is>
          <t>TRESOR COUTURE</t>
        </is>
      </c>
      <c r="F2" s="2" t="inlineStr">
        <is>
          <t>Laces</t>
        </is>
      </c>
      <c r="G2" s="2" t="inlineStr">
        <is>
          <t>Trim &amp; Edging</t>
        </is>
      </c>
      <c r="H2" s="2" t="inlineStr">
        <is>
          <t>Net</t>
        </is>
      </c>
      <c r="I2" s="2" t="inlineStr">
        <is>
          <t>bundle</t>
        </is>
      </c>
      <c r="J2" s="2" t="n">
        <v>9</v>
      </c>
      <c r="K2" s="3" t="n">
        <v>700</v>
      </c>
      <c r="L2" s="4" t="n">
        <v>1299</v>
      </c>
      <c r="M2" s="4" t="n">
        <v>1299</v>
      </c>
      <c r="N2" s="5">
        <f>IF(OR(K2="",L2=""),"",(L2-K2)/L2)</f>
        <v/>
      </c>
      <c r="O2" s="6" t="n">
        <v>0.05</v>
      </c>
      <c r="P2" s="2" t="n"/>
      <c r="Q2" s="2" t="n">
        <v>3</v>
      </c>
      <c r="R2" s="2" t="n">
        <v>1</v>
      </c>
      <c r="S2" s="2">
        <f>IF(Q2="","",IF(Q2&lt;=0,"OUT OF STOCK",IF(Q2&lt;=R2,"REORDER","OK")))</f>
        <v/>
      </c>
      <c r="T2" s="2">
        <f>IF(B2="","",SUMIFS('Stock Log'!$D$2:$D$600,'Stock Log'!$B$2:$B$600,B2))</f>
        <v/>
      </c>
      <c r="U2" s="2">
        <f>IF(B2="","",IF(T2=Q2,"OK","CHECK"))</f>
        <v/>
      </c>
      <c r="V2" s="7" t="inlineStr">
        <is>
          <t>2026-08-01</t>
        </is>
      </c>
      <c r="W2" s="2" t="inlineStr">
        <is>
          <t>Supplier A (rename me)</t>
        </is>
      </c>
      <c r="X2" s="2" t="inlineStr">
        <is>
          <t>https://tresorcouture.in/products/lace/HA0000.jpg</t>
        </is>
      </c>
      <c r="Y2" s="2" t="inlineStr">
        <is>
          <t>Studio</t>
        </is>
      </c>
      <c r="Z2" s="2" t="inlineStr">
        <is>
          <t>Yes</t>
        </is>
      </c>
      <c r="AA2" s="2" t="inlineStr">
        <is>
          <t>Active</t>
        </is>
      </c>
      <c r="AB2" s="2" t="inlineStr">
        <is>
          <t>New In</t>
        </is>
      </c>
      <c r="AC2" s="2" t="inlineStr">
        <is>
          <t>EXAMPLE ROW — replace with your first product</t>
        </is>
      </c>
    </row>
    <row r="3">
      <c r="N3" s="8">
        <f>IF(OR(K3="",L3=""),"",(L3-K3)/L3)</f>
        <v/>
      </c>
      <c r="O3" s="9" t="n"/>
      <c r="S3" s="10">
        <f>IF(Q3="","",IF(Q3&lt;=0,"OUT OF STOCK",IF(Q3&lt;=R3,"REORDER","OK")))</f>
        <v/>
      </c>
      <c r="T3" s="10">
        <f>IF(B3="","",SUMIFS('Stock Log'!$D$2:$D$600,'Stock Log'!$B$2:$B$600,B3))</f>
        <v/>
      </c>
      <c r="U3" s="10">
        <f>IF(B3="","",IF(T3=Q3,"OK","CHECK"))</f>
        <v/>
      </c>
    </row>
    <row r="4">
      <c r="N4" s="8">
        <f>IF(OR(K4="",L4=""),"",(L4-K4)/L4)</f>
        <v/>
      </c>
      <c r="O4" s="9" t="n"/>
      <c r="S4" s="10">
        <f>IF(Q4="","",IF(Q4&lt;=0,"OUT OF STOCK",IF(Q4&lt;=R4,"REORDER","OK")))</f>
        <v/>
      </c>
      <c r="T4" s="10">
        <f>IF(B4="","",SUMIFS('Stock Log'!$D$2:$D$600,'Stock Log'!$B$2:$B$600,B4))</f>
        <v/>
      </c>
      <c r="U4" s="10">
        <f>IF(B4="","",IF(T4=Q4,"OK","CHECK"))</f>
        <v/>
      </c>
    </row>
    <row r="5">
      <c r="N5" s="8">
        <f>IF(OR(K5="",L5=""),"",(L5-K5)/L5)</f>
        <v/>
      </c>
      <c r="O5" s="9" t="n"/>
      <c r="S5" s="10">
        <f>IF(Q5="","",IF(Q5&lt;=0,"OUT OF STOCK",IF(Q5&lt;=R5,"REORDER","OK")))</f>
        <v/>
      </c>
      <c r="T5" s="10">
        <f>IF(B5="","",SUMIFS('Stock Log'!$D$2:$D$600,'Stock Log'!$B$2:$B$600,B5))</f>
        <v/>
      </c>
      <c r="U5" s="10">
        <f>IF(B5="","",IF(T5=Q5,"OK","CHECK"))</f>
        <v/>
      </c>
    </row>
    <row r="6">
      <c r="N6" s="8">
        <f>IF(OR(K6="",L6=""),"",(L6-K6)/L6)</f>
        <v/>
      </c>
      <c r="O6" s="9" t="n"/>
      <c r="S6" s="10">
        <f>IF(Q6="","",IF(Q6&lt;=0,"OUT OF STOCK",IF(Q6&lt;=R6,"REORDER","OK")))</f>
        <v/>
      </c>
      <c r="T6" s="10">
        <f>IF(B6="","",SUMIFS('Stock Log'!$D$2:$D$600,'Stock Log'!$B$2:$B$600,B6))</f>
        <v/>
      </c>
      <c r="U6" s="10">
        <f>IF(B6="","",IF(T6=Q6,"OK","CHECK"))</f>
        <v/>
      </c>
    </row>
    <row r="7">
      <c r="N7" s="8">
        <f>IF(OR(K7="",L7=""),"",(L7-K7)/L7)</f>
        <v/>
      </c>
      <c r="O7" s="9" t="n"/>
      <c r="S7" s="10">
        <f>IF(Q7="","",IF(Q7&lt;=0,"OUT OF STOCK",IF(Q7&lt;=R7,"REORDER","OK")))</f>
        <v/>
      </c>
      <c r="T7" s="10">
        <f>IF(B7="","",SUMIFS('Stock Log'!$D$2:$D$600,'Stock Log'!$B$2:$B$600,B7))</f>
        <v/>
      </c>
      <c r="U7" s="10">
        <f>IF(B7="","",IF(T7=Q7,"OK","CHECK"))</f>
        <v/>
      </c>
    </row>
    <row r="8">
      <c r="N8" s="8">
        <f>IF(OR(K8="",L8=""),"",(L8-K8)/L8)</f>
        <v/>
      </c>
      <c r="O8" s="9" t="n"/>
      <c r="S8" s="10">
        <f>IF(Q8="","",IF(Q8&lt;=0,"OUT OF STOCK",IF(Q8&lt;=R8,"REORDER","OK")))</f>
        <v/>
      </c>
      <c r="T8" s="10">
        <f>IF(B8="","",SUMIFS('Stock Log'!$D$2:$D$600,'Stock Log'!$B$2:$B$600,B8))</f>
        <v/>
      </c>
      <c r="U8" s="10">
        <f>IF(B8="","",IF(T8=Q8,"OK","CHECK"))</f>
        <v/>
      </c>
    </row>
    <row r="9">
      <c r="N9" s="8">
        <f>IF(OR(K9="",L9=""),"",(L9-K9)/L9)</f>
        <v/>
      </c>
      <c r="O9" s="9" t="n"/>
      <c r="S9" s="10">
        <f>IF(Q9="","",IF(Q9&lt;=0,"OUT OF STOCK",IF(Q9&lt;=R9,"REORDER","OK")))</f>
        <v/>
      </c>
      <c r="T9" s="10">
        <f>IF(B9="","",SUMIFS('Stock Log'!$D$2:$D$600,'Stock Log'!$B$2:$B$600,B9))</f>
        <v/>
      </c>
      <c r="U9" s="10">
        <f>IF(B9="","",IF(T9=Q9,"OK","CHECK"))</f>
        <v/>
      </c>
    </row>
    <row r="10">
      <c r="N10" s="8">
        <f>IF(OR(K10="",L10=""),"",(L10-K10)/L10)</f>
        <v/>
      </c>
      <c r="O10" s="9" t="n"/>
      <c r="S10" s="10">
        <f>IF(Q10="","",IF(Q10&lt;=0,"OUT OF STOCK",IF(Q10&lt;=R10,"REORDER","OK")))</f>
        <v/>
      </c>
      <c r="T10" s="10">
        <f>IF(B10="","",SUMIFS('Stock Log'!$D$2:$D$600,'Stock Log'!$B$2:$B$600,B10))</f>
        <v/>
      </c>
      <c r="U10" s="10">
        <f>IF(B10="","",IF(T10=Q10,"OK","CHECK"))</f>
        <v/>
      </c>
    </row>
    <row r="11">
      <c r="N11" s="8">
        <f>IF(OR(K11="",L11=""),"",(L11-K11)/L11)</f>
        <v/>
      </c>
      <c r="O11" s="9" t="n"/>
      <c r="S11" s="10">
        <f>IF(Q11="","",IF(Q11&lt;=0,"OUT OF STOCK",IF(Q11&lt;=R11,"REORDER","OK")))</f>
        <v/>
      </c>
      <c r="T11" s="10">
        <f>IF(B11="","",SUMIFS('Stock Log'!$D$2:$D$600,'Stock Log'!$B$2:$B$600,B11))</f>
        <v/>
      </c>
      <c r="U11" s="10">
        <f>IF(B11="","",IF(T11=Q11,"OK","CHECK"))</f>
        <v/>
      </c>
    </row>
    <row r="12">
      <c r="N12" s="8">
        <f>IF(OR(K12="",L12=""),"",(L12-K12)/L12)</f>
        <v/>
      </c>
      <c r="O12" s="9" t="n"/>
      <c r="S12" s="10">
        <f>IF(Q12="","",IF(Q12&lt;=0,"OUT OF STOCK",IF(Q12&lt;=R12,"REORDER","OK")))</f>
        <v/>
      </c>
      <c r="T12" s="10">
        <f>IF(B12="","",SUMIFS('Stock Log'!$D$2:$D$600,'Stock Log'!$B$2:$B$600,B12))</f>
        <v/>
      </c>
      <c r="U12" s="10">
        <f>IF(B12="","",IF(T12=Q12,"OK","CHECK"))</f>
        <v/>
      </c>
    </row>
    <row r="13">
      <c r="N13" s="8">
        <f>IF(OR(K13="",L13=""),"",(L13-K13)/L13)</f>
        <v/>
      </c>
      <c r="O13" s="9" t="n"/>
      <c r="S13" s="10">
        <f>IF(Q13="","",IF(Q13&lt;=0,"OUT OF STOCK",IF(Q13&lt;=R13,"REORDER","OK")))</f>
        <v/>
      </c>
      <c r="T13" s="10">
        <f>IF(B13="","",SUMIFS('Stock Log'!$D$2:$D$600,'Stock Log'!$B$2:$B$600,B13))</f>
        <v/>
      </c>
      <c r="U13" s="10">
        <f>IF(B13="","",IF(T13=Q13,"OK","CHECK"))</f>
        <v/>
      </c>
    </row>
    <row r="14">
      <c r="N14" s="8">
        <f>IF(OR(K14="",L14=""),"",(L14-K14)/L14)</f>
        <v/>
      </c>
      <c r="O14" s="9" t="n"/>
      <c r="S14" s="10">
        <f>IF(Q14="","",IF(Q14&lt;=0,"OUT OF STOCK",IF(Q14&lt;=R14,"REORDER","OK")))</f>
        <v/>
      </c>
      <c r="T14" s="10">
        <f>IF(B14="","",SUMIFS('Stock Log'!$D$2:$D$600,'Stock Log'!$B$2:$B$600,B14))</f>
        <v/>
      </c>
      <c r="U14" s="10">
        <f>IF(B14="","",IF(T14=Q14,"OK","CHECK"))</f>
        <v/>
      </c>
    </row>
    <row r="15">
      <c r="N15" s="8">
        <f>IF(OR(K15="",L15=""),"",(L15-K15)/L15)</f>
        <v/>
      </c>
      <c r="O15" s="9" t="n"/>
      <c r="S15" s="10">
        <f>IF(Q15="","",IF(Q15&lt;=0,"OUT OF STOCK",IF(Q15&lt;=R15,"REORDER","OK")))</f>
        <v/>
      </c>
      <c r="T15" s="10">
        <f>IF(B15="","",SUMIFS('Stock Log'!$D$2:$D$600,'Stock Log'!$B$2:$B$600,B15))</f>
        <v/>
      </c>
      <c r="U15" s="10">
        <f>IF(B15="","",IF(T15=Q15,"OK","CHECK"))</f>
        <v/>
      </c>
    </row>
    <row r="16">
      <c r="N16" s="8">
        <f>IF(OR(K16="",L16=""),"",(L16-K16)/L16)</f>
        <v/>
      </c>
      <c r="O16" s="9" t="n"/>
      <c r="S16" s="10">
        <f>IF(Q16="","",IF(Q16&lt;=0,"OUT OF STOCK",IF(Q16&lt;=R16,"REORDER","OK")))</f>
        <v/>
      </c>
      <c r="T16" s="10">
        <f>IF(B16="","",SUMIFS('Stock Log'!$D$2:$D$600,'Stock Log'!$B$2:$B$600,B16))</f>
        <v/>
      </c>
      <c r="U16" s="10">
        <f>IF(B16="","",IF(T16=Q16,"OK","CHECK"))</f>
        <v/>
      </c>
    </row>
    <row r="17">
      <c r="N17" s="8">
        <f>IF(OR(K17="",L17=""),"",(L17-K17)/L17)</f>
        <v/>
      </c>
      <c r="O17" s="9" t="n"/>
      <c r="S17" s="10">
        <f>IF(Q17="","",IF(Q17&lt;=0,"OUT OF STOCK",IF(Q17&lt;=R17,"REORDER","OK")))</f>
        <v/>
      </c>
      <c r="T17" s="10">
        <f>IF(B17="","",SUMIFS('Stock Log'!$D$2:$D$600,'Stock Log'!$B$2:$B$600,B17))</f>
        <v/>
      </c>
      <c r="U17" s="10">
        <f>IF(B17="","",IF(T17=Q17,"OK","CHECK"))</f>
        <v/>
      </c>
    </row>
    <row r="18">
      <c r="N18" s="8">
        <f>IF(OR(K18="",L18=""),"",(L18-K18)/L18)</f>
        <v/>
      </c>
      <c r="O18" s="9" t="n"/>
      <c r="S18" s="10">
        <f>IF(Q18="","",IF(Q18&lt;=0,"OUT OF STOCK",IF(Q18&lt;=R18,"REORDER","OK")))</f>
        <v/>
      </c>
      <c r="T18" s="10">
        <f>IF(B18="","",SUMIFS('Stock Log'!$D$2:$D$600,'Stock Log'!$B$2:$B$600,B18))</f>
        <v/>
      </c>
      <c r="U18" s="10">
        <f>IF(B18="","",IF(T18=Q18,"OK","CHECK"))</f>
        <v/>
      </c>
    </row>
    <row r="19">
      <c r="N19" s="8">
        <f>IF(OR(K19="",L19=""),"",(L19-K19)/L19)</f>
        <v/>
      </c>
      <c r="O19" s="9" t="n"/>
      <c r="S19" s="10">
        <f>IF(Q19="","",IF(Q19&lt;=0,"OUT OF STOCK",IF(Q19&lt;=R19,"REORDER","OK")))</f>
        <v/>
      </c>
      <c r="T19" s="10">
        <f>IF(B19="","",SUMIFS('Stock Log'!$D$2:$D$600,'Stock Log'!$B$2:$B$600,B19))</f>
        <v/>
      </c>
      <c r="U19" s="10">
        <f>IF(B19="","",IF(T19=Q19,"OK","CHECK"))</f>
        <v/>
      </c>
    </row>
    <row r="20">
      <c r="N20" s="8">
        <f>IF(OR(K20="",L20=""),"",(L20-K20)/L20)</f>
        <v/>
      </c>
      <c r="O20" s="9" t="n"/>
      <c r="S20" s="10">
        <f>IF(Q20="","",IF(Q20&lt;=0,"OUT OF STOCK",IF(Q20&lt;=R20,"REORDER","OK")))</f>
        <v/>
      </c>
      <c r="T20" s="10">
        <f>IF(B20="","",SUMIFS('Stock Log'!$D$2:$D$600,'Stock Log'!$B$2:$B$600,B20))</f>
        <v/>
      </c>
      <c r="U20" s="10">
        <f>IF(B20="","",IF(T20=Q20,"OK","CHECK"))</f>
        <v/>
      </c>
    </row>
    <row r="21">
      <c r="N21" s="8">
        <f>IF(OR(K21="",L21=""),"",(L21-K21)/L21)</f>
        <v/>
      </c>
      <c r="O21" s="9" t="n"/>
      <c r="S21" s="10">
        <f>IF(Q21="","",IF(Q21&lt;=0,"OUT OF STOCK",IF(Q21&lt;=R21,"REORDER","OK")))</f>
        <v/>
      </c>
      <c r="T21" s="10">
        <f>IF(B21="","",SUMIFS('Stock Log'!$D$2:$D$600,'Stock Log'!$B$2:$B$600,B21))</f>
        <v/>
      </c>
      <c r="U21" s="10">
        <f>IF(B21="","",IF(T21=Q21,"OK","CHECK"))</f>
        <v/>
      </c>
    </row>
    <row r="22">
      <c r="N22" s="8">
        <f>IF(OR(K22="",L22=""),"",(L22-K22)/L22)</f>
        <v/>
      </c>
      <c r="O22" s="9" t="n"/>
      <c r="S22" s="10">
        <f>IF(Q22="","",IF(Q22&lt;=0,"OUT OF STOCK",IF(Q22&lt;=R22,"REORDER","OK")))</f>
        <v/>
      </c>
      <c r="T22" s="10">
        <f>IF(B22="","",SUMIFS('Stock Log'!$D$2:$D$600,'Stock Log'!$B$2:$B$600,B22))</f>
        <v/>
      </c>
      <c r="U22" s="10">
        <f>IF(B22="","",IF(T22=Q22,"OK","CHECK"))</f>
        <v/>
      </c>
    </row>
    <row r="23">
      <c r="N23" s="8">
        <f>IF(OR(K23="",L23=""),"",(L23-K23)/L23)</f>
        <v/>
      </c>
      <c r="O23" s="9" t="n"/>
      <c r="S23" s="10">
        <f>IF(Q23="","",IF(Q23&lt;=0,"OUT OF STOCK",IF(Q23&lt;=R23,"REORDER","OK")))</f>
        <v/>
      </c>
      <c r="T23" s="10">
        <f>IF(B23="","",SUMIFS('Stock Log'!$D$2:$D$600,'Stock Log'!$B$2:$B$600,B23))</f>
        <v/>
      </c>
      <c r="U23" s="10">
        <f>IF(B23="","",IF(T23=Q23,"OK","CHECK"))</f>
        <v/>
      </c>
    </row>
    <row r="24">
      <c r="N24" s="8">
        <f>IF(OR(K24="",L24=""),"",(L24-K24)/L24)</f>
        <v/>
      </c>
      <c r="O24" s="9" t="n"/>
      <c r="S24" s="10">
        <f>IF(Q24="","",IF(Q24&lt;=0,"OUT OF STOCK",IF(Q24&lt;=R24,"REORDER","OK")))</f>
        <v/>
      </c>
      <c r="T24" s="10">
        <f>IF(B24="","",SUMIFS('Stock Log'!$D$2:$D$600,'Stock Log'!$B$2:$B$600,B24))</f>
        <v/>
      </c>
      <c r="U24" s="10">
        <f>IF(B24="","",IF(T24=Q24,"OK","CHECK"))</f>
        <v/>
      </c>
    </row>
    <row r="25">
      <c r="N25" s="8">
        <f>IF(OR(K25="",L25=""),"",(L25-K25)/L25)</f>
        <v/>
      </c>
      <c r="O25" s="9" t="n"/>
      <c r="S25" s="10">
        <f>IF(Q25="","",IF(Q25&lt;=0,"OUT OF STOCK",IF(Q25&lt;=R25,"REORDER","OK")))</f>
        <v/>
      </c>
      <c r="T25" s="10">
        <f>IF(B25="","",SUMIFS('Stock Log'!$D$2:$D$600,'Stock Log'!$B$2:$B$600,B25))</f>
        <v/>
      </c>
      <c r="U25" s="10">
        <f>IF(B25="","",IF(T25=Q25,"OK","CHECK"))</f>
        <v/>
      </c>
    </row>
    <row r="26">
      <c r="N26" s="8">
        <f>IF(OR(K26="",L26=""),"",(L26-K26)/L26)</f>
        <v/>
      </c>
      <c r="O26" s="9" t="n"/>
      <c r="S26" s="10">
        <f>IF(Q26="","",IF(Q26&lt;=0,"OUT OF STOCK",IF(Q26&lt;=R26,"REORDER","OK")))</f>
        <v/>
      </c>
      <c r="T26" s="10">
        <f>IF(B26="","",SUMIFS('Stock Log'!$D$2:$D$600,'Stock Log'!$B$2:$B$600,B26))</f>
        <v/>
      </c>
      <c r="U26" s="10">
        <f>IF(B26="","",IF(T26=Q26,"OK","CHECK"))</f>
        <v/>
      </c>
    </row>
    <row r="27">
      <c r="N27" s="8">
        <f>IF(OR(K27="",L27=""),"",(L27-K27)/L27)</f>
        <v/>
      </c>
      <c r="O27" s="9" t="n"/>
      <c r="S27" s="10">
        <f>IF(Q27="","",IF(Q27&lt;=0,"OUT OF STOCK",IF(Q27&lt;=R27,"REORDER","OK")))</f>
        <v/>
      </c>
      <c r="T27" s="10">
        <f>IF(B27="","",SUMIFS('Stock Log'!$D$2:$D$600,'Stock Log'!$B$2:$B$600,B27))</f>
        <v/>
      </c>
      <c r="U27" s="10">
        <f>IF(B27="","",IF(T27=Q27,"OK","CHECK"))</f>
        <v/>
      </c>
    </row>
    <row r="28">
      <c r="N28" s="8">
        <f>IF(OR(K28="",L28=""),"",(L28-K28)/L28)</f>
        <v/>
      </c>
      <c r="O28" s="9" t="n"/>
      <c r="S28" s="10">
        <f>IF(Q28="","",IF(Q28&lt;=0,"OUT OF STOCK",IF(Q28&lt;=R28,"REORDER","OK")))</f>
        <v/>
      </c>
      <c r="T28" s="10">
        <f>IF(B28="","",SUMIFS('Stock Log'!$D$2:$D$600,'Stock Log'!$B$2:$B$600,B28))</f>
        <v/>
      </c>
      <c r="U28" s="10">
        <f>IF(B28="","",IF(T28=Q28,"OK","CHECK"))</f>
        <v/>
      </c>
    </row>
    <row r="29">
      <c r="N29" s="8">
        <f>IF(OR(K29="",L29=""),"",(L29-K29)/L29)</f>
        <v/>
      </c>
      <c r="O29" s="9" t="n"/>
      <c r="S29" s="10">
        <f>IF(Q29="","",IF(Q29&lt;=0,"OUT OF STOCK",IF(Q29&lt;=R29,"REORDER","OK")))</f>
        <v/>
      </c>
      <c r="T29" s="10">
        <f>IF(B29="","",SUMIFS('Stock Log'!$D$2:$D$600,'Stock Log'!$B$2:$B$600,B29))</f>
        <v/>
      </c>
      <c r="U29" s="10">
        <f>IF(B29="","",IF(T29=Q29,"OK","CHECK"))</f>
        <v/>
      </c>
    </row>
    <row r="30">
      <c r="N30" s="8">
        <f>IF(OR(K30="",L30=""),"",(L30-K30)/L30)</f>
        <v/>
      </c>
      <c r="O30" s="9" t="n"/>
      <c r="S30" s="10">
        <f>IF(Q30="","",IF(Q30&lt;=0,"OUT OF STOCK",IF(Q30&lt;=R30,"REORDER","OK")))</f>
        <v/>
      </c>
      <c r="T30" s="10">
        <f>IF(B30="","",SUMIFS('Stock Log'!$D$2:$D$600,'Stock Log'!$B$2:$B$600,B30))</f>
        <v/>
      </c>
      <c r="U30" s="10">
        <f>IF(B30="","",IF(T30=Q30,"OK","CHECK"))</f>
        <v/>
      </c>
    </row>
    <row r="31">
      <c r="N31" s="8">
        <f>IF(OR(K31="",L31=""),"",(L31-K31)/L31)</f>
        <v/>
      </c>
      <c r="O31" s="9" t="n"/>
      <c r="S31" s="10">
        <f>IF(Q31="","",IF(Q31&lt;=0,"OUT OF STOCK",IF(Q31&lt;=R31,"REORDER","OK")))</f>
        <v/>
      </c>
      <c r="T31" s="10">
        <f>IF(B31="","",SUMIFS('Stock Log'!$D$2:$D$600,'Stock Log'!$B$2:$B$600,B31))</f>
        <v/>
      </c>
      <c r="U31" s="10">
        <f>IF(B31="","",IF(T31=Q31,"OK","CHECK"))</f>
        <v/>
      </c>
    </row>
    <row r="32">
      <c r="N32" s="8">
        <f>IF(OR(K32="",L32=""),"",(L32-K32)/L32)</f>
        <v/>
      </c>
      <c r="O32" s="9" t="n"/>
      <c r="S32" s="10">
        <f>IF(Q32="","",IF(Q32&lt;=0,"OUT OF STOCK",IF(Q32&lt;=R32,"REORDER","OK")))</f>
        <v/>
      </c>
      <c r="T32" s="10">
        <f>IF(B32="","",SUMIFS('Stock Log'!$D$2:$D$600,'Stock Log'!$B$2:$B$600,B32))</f>
        <v/>
      </c>
      <c r="U32" s="10">
        <f>IF(B32="","",IF(T32=Q32,"OK","CHECK"))</f>
        <v/>
      </c>
    </row>
    <row r="33">
      <c r="N33" s="8">
        <f>IF(OR(K33="",L33=""),"",(L33-K33)/L33)</f>
        <v/>
      </c>
      <c r="O33" s="9" t="n"/>
      <c r="S33" s="10">
        <f>IF(Q33="","",IF(Q33&lt;=0,"OUT OF STOCK",IF(Q33&lt;=R33,"REORDER","OK")))</f>
        <v/>
      </c>
      <c r="T33" s="10">
        <f>IF(B33="","",SUMIFS('Stock Log'!$D$2:$D$600,'Stock Log'!$B$2:$B$600,B33))</f>
        <v/>
      </c>
      <c r="U33" s="10">
        <f>IF(B33="","",IF(T33=Q33,"OK","CHECK"))</f>
        <v/>
      </c>
    </row>
    <row r="34">
      <c r="N34" s="8">
        <f>IF(OR(K34="",L34=""),"",(L34-K34)/L34)</f>
        <v/>
      </c>
      <c r="O34" s="9" t="n"/>
      <c r="S34" s="10">
        <f>IF(Q34="","",IF(Q34&lt;=0,"OUT OF STOCK",IF(Q34&lt;=R34,"REORDER","OK")))</f>
        <v/>
      </c>
      <c r="T34" s="10">
        <f>IF(B34="","",SUMIFS('Stock Log'!$D$2:$D$600,'Stock Log'!$B$2:$B$600,B34))</f>
        <v/>
      </c>
      <c r="U34" s="10">
        <f>IF(B34="","",IF(T34=Q34,"OK","CHECK"))</f>
        <v/>
      </c>
    </row>
    <row r="35">
      <c r="N35" s="8">
        <f>IF(OR(K35="",L35=""),"",(L35-K35)/L35)</f>
        <v/>
      </c>
      <c r="O35" s="9" t="n"/>
      <c r="S35" s="10">
        <f>IF(Q35="","",IF(Q35&lt;=0,"OUT OF STOCK",IF(Q35&lt;=R35,"REORDER","OK")))</f>
        <v/>
      </c>
      <c r="T35" s="10">
        <f>IF(B35="","",SUMIFS('Stock Log'!$D$2:$D$600,'Stock Log'!$B$2:$B$600,B35))</f>
        <v/>
      </c>
      <c r="U35" s="10">
        <f>IF(B35="","",IF(T35=Q35,"OK","CHECK"))</f>
        <v/>
      </c>
    </row>
    <row r="36">
      <c r="N36" s="8">
        <f>IF(OR(K36="",L36=""),"",(L36-K36)/L36)</f>
        <v/>
      </c>
      <c r="O36" s="9" t="n"/>
      <c r="S36" s="10">
        <f>IF(Q36="","",IF(Q36&lt;=0,"OUT OF STOCK",IF(Q36&lt;=R36,"REORDER","OK")))</f>
        <v/>
      </c>
      <c r="T36" s="10">
        <f>IF(B36="","",SUMIFS('Stock Log'!$D$2:$D$600,'Stock Log'!$B$2:$B$600,B36))</f>
        <v/>
      </c>
      <c r="U36" s="10">
        <f>IF(B36="","",IF(T36=Q36,"OK","CHECK"))</f>
        <v/>
      </c>
    </row>
    <row r="37">
      <c r="N37" s="8">
        <f>IF(OR(K37="",L37=""),"",(L37-K37)/L37)</f>
        <v/>
      </c>
      <c r="O37" s="9" t="n"/>
      <c r="S37" s="10">
        <f>IF(Q37="","",IF(Q37&lt;=0,"OUT OF STOCK",IF(Q37&lt;=R37,"REORDER","OK")))</f>
        <v/>
      </c>
      <c r="T37" s="10">
        <f>IF(B37="","",SUMIFS('Stock Log'!$D$2:$D$600,'Stock Log'!$B$2:$B$600,B37))</f>
        <v/>
      </c>
      <c r="U37" s="10">
        <f>IF(B37="","",IF(T37=Q37,"OK","CHECK"))</f>
        <v/>
      </c>
    </row>
    <row r="38">
      <c r="N38" s="8">
        <f>IF(OR(K38="",L38=""),"",(L38-K38)/L38)</f>
        <v/>
      </c>
      <c r="O38" s="9" t="n"/>
      <c r="S38" s="10">
        <f>IF(Q38="","",IF(Q38&lt;=0,"OUT OF STOCK",IF(Q38&lt;=R38,"REORDER","OK")))</f>
        <v/>
      </c>
      <c r="T38" s="10">
        <f>IF(B38="","",SUMIFS('Stock Log'!$D$2:$D$600,'Stock Log'!$B$2:$B$600,B38))</f>
        <v/>
      </c>
      <c r="U38" s="10">
        <f>IF(B38="","",IF(T38=Q38,"OK","CHECK"))</f>
        <v/>
      </c>
    </row>
    <row r="39">
      <c r="N39" s="8">
        <f>IF(OR(K39="",L39=""),"",(L39-K39)/L39)</f>
        <v/>
      </c>
      <c r="O39" s="9" t="n"/>
      <c r="S39" s="10">
        <f>IF(Q39="","",IF(Q39&lt;=0,"OUT OF STOCK",IF(Q39&lt;=R39,"REORDER","OK")))</f>
        <v/>
      </c>
      <c r="T39" s="10">
        <f>IF(B39="","",SUMIFS('Stock Log'!$D$2:$D$600,'Stock Log'!$B$2:$B$600,B39))</f>
        <v/>
      </c>
      <c r="U39" s="10">
        <f>IF(B39="","",IF(T39=Q39,"OK","CHECK"))</f>
        <v/>
      </c>
    </row>
    <row r="40">
      <c r="N40" s="8">
        <f>IF(OR(K40="",L40=""),"",(L40-K40)/L40)</f>
        <v/>
      </c>
      <c r="O40" s="9" t="n"/>
      <c r="S40" s="10">
        <f>IF(Q40="","",IF(Q40&lt;=0,"OUT OF STOCK",IF(Q40&lt;=R40,"REORDER","OK")))</f>
        <v/>
      </c>
      <c r="T40" s="10">
        <f>IF(B40="","",SUMIFS('Stock Log'!$D$2:$D$600,'Stock Log'!$B$2:$B$600,B40))</f>
        <v/>
      </c>
      <c r="U40" s="10">
        <f>IF(B40="","",IF(T40=Q40,"OK","CHECK"))</f>
        <v/>
      </c>
    </row>
    <row r="41">
      <c r="N41" s="8">
        <f>IF(OR(K41="",L41=""),"",(L41-K41)/L41)</f>
        <v/>
      </c>
      <c r="O41" s="9" t="n"/>
      <c r="S41" s="10">
        <f>IF(Q41="","",IF(Q41&lt;=0,"OUT OF STOCK",IF(Q41&lt;=R41,"REORDER","OK")))</f>
        <v/>
      </c>
      <c r="T41" s="10">
        <f>IF(B41="","",SUMIFS('Stock Log'!$D$2:$D$600,'Stock Log'!$B$2:$B$600,B41))</f>
        <v/>
      </c>
      <c r="U41" s="10">
        <f>IF(B41="","",IF(T41=Q41,"OK","CHECK"))</f>
        <v/>
      </c>
    </row>
    <row r="42">
      <c r="N42" s="8">
        <f>IF(OR(K42="",L42=""),"",(L42-K42)/L42)</f>
        <v/>
      </c>
      <c r="O42" s="9" t="n"/>
      <c r="S42" s="10">
        <f>IF(Q42="","",IF(Q42&lt;=0,"OUT OF STOCK",IF(Q42&lt;=R42,"REORDER","OK")))</f>
        <v/>
      </c>
      <c r="T42" s="10">
        <f>IF(B42="","",SUMIFS('Stock Log'!$D$2:$D$600,'Stock Log'!$B$2:$B$600,B42))</f>
        <v/>
      </c>
      <c r="U42" s="10">
        <f>IF(B42="","",IF(T42=Q42,"OK","CHECK"))</f>
        <v/>
      </c>
    </row>
    <row r="43">
      <c r="N43" s="8">
        <f>IF(OR(K43="",L43=""),"",(L43-K43)/L43)</f>
        <v/>
      </c>
      <c r="O43" s="9" t="n"/>
      <c r="S43" s="10">
        <f>IF(Q43="","",IF(Q43&lt;=0,"OUT OF STOCK",IF(Q43&lt;=R43,"REORDER","OK")))</f>
        <v/>
      </c>
      <c r="T43" s="10">
        <f>IF(B43="","",SUMIFS('Stock Log'!$D$2:$D$600,'Stock Log'!$B$2:$B$600,B43))</f>
        <v/>
      </c>
      <c r="U43" s="10">
        <f>IF(B43="","",IF(T43=Q43,"OK","CHECK"))</f>
        <v/>
      </c>
    </row>
    <row r="44">
      <c r="N44" s="8">
        <f>IF(OR(K44="",L44=""),"",(L44-K44)/L44)</f>
        <v/>
      </c>
      <c r="O44" s="9" t="n"/>
      <c r="S44" s="10">
        <f>IF(Q44="","",IF(Q44&lt;=0,"OUT OF STOCK",IF(Q44&lt;=R44,"REORDER","OK")))</f>
        <v/>
      </c>
      <c r="T44" s="10">
        <f>IF(B44="","",SUMIFS('Stock Log'!$D$2:$D$600,'Stock Log'!$B$2:$B$600,B44))</f>
        <v/>
      </c>
      <c r="U44" s="10">
        <f>IF(B44="","",IF(T44=Q44,"OK","CHECK"))</f>
        <v/>
      </c>
    </row>
    <row r="45">
      <c r="N45" s="8">
        <f>IF(OR(K45="",L45=""),"",(L45-K45)/L45)</f>
        <v/>
      </c>
      <c r="O45" s="9" t="n"/>
      <c r="S45" s="10">
        <f>IF(Q45="","",IF(Q45&lt;=0,"OUT OF STOCK",IF(Q45&lt;=R45,"REORDER","OK")))</f>
        <v/>
      </c>
      <c r="T45" s="10">
        <f>IF(B45="","",SUMIFS('Stock Log'!$D$2:$D$600,'Stock Log'!$B$2:$B$600,B45))</f>
        <v/>
      </c>
      <c r="U45" s="10">
        <f>IF(B45="","",IF(T45=Q45,"OK","CHECK"))</f>
        <v/>
      </c>
    </row>
    <row r="46">
      <c r="N46" s="8">
        <f>IF(OR(K46="",L46=""),"",(L46-K46)/L46)</f>
        <v/>
      </c>
      <c r="O46" s="9" t="n"/>
      <c r="S46" s="10">
        <f>IF(Q46="","",IF(Q46&lt;=0,"OUT OF STOCK",IF(Q46&lt;=R46,"REORDER","OK")))</f>
        <v/>
      </c>
      <c r="T46" s="10">
        <f>IF(B46="","",SUMIFS('Stock Log'!$D$2:$D$600,'Stock Log'!$B$2:$B$600,B46))</f>
        <v/>
      </c>
      <c r="U46" s="10">
        <f>IF(B46="","",IF(T46=Q46,"OK","CHECK"))</f>
        <v/>
      </c>
    </row>
    <row r="47">
      <c r="N47" s="8">
        <f>IF(OR(K47="",L47=""),"",(L47-K47)/L47)</f>
        <v/>
      </c>
      <c r="O47" s="9" t="n"/>
      <c r="S47" s="10">
        <f>IF(Q47="","",IF(Q47&lt;=0,"OUT OF STOCK",IF(Q47&lt;=R47,"REORDER","OK")))</f>
        <v/>
      </c>
      <c r="T47" s="10">
        <f>IF(B47="","",SUMIFS('Stock Log'!$D$2:$D$600,'Stock Log'!$B$2:$B$600,B47))</f>
        <v/>
      </c>
      <c r="U47" s="10">
        <f>IF(B47="","",IF(T47=Q47,"OK","CHECK"))</f>
        <v/>
      </c>
    </row>
    <row r="48">
      <c r="N48" s="8">
        <f>IF(OR(K48="",L48=""),"",(L48-K48)/L48)</f>
        <v/>
      </c>
      <c r="O48" s="9" t="n"/>
      <c r="S48" s="10">
        <f>IF(Q48="","",IF(Q48&lt;=0,"OUT OF STOCK",IF(Q48&lt;=R48,"REORDER","OK")))</f>
        <v/>
      </c>
      <c r="T48" s="10">
        <f>IF(B48="","",SUMIFS('Stock Log'!$D$2:$D$600,'Stock Log'!$B$2:$B$600,B48))</f>
        <v/>
      </c>
      <c r="U48" s="10">
        <f>IF(B48="","",IF(T48=Q48,"OK","CHECK"))</f>
        <v/>
      </c>
    </row>
    <row r="49">
      <c r="N49" s="8">
        <f>IF(OR(K49="",L49=""),"",(L49-K49)/L49)</f>
        <v/>
      </c>
      <c r="O49" s="9" t="n"/>
      <c r="S49" s="10">
        <f>IF(Q49="","",IF(Q49&lt;=0,"OUT OF STOCK",IF(Q49&lt;=R49,"REORDER","OK")))</f>
        <v/>
      </c>
      <c r="T49" s="10">
        <f>IF(B49="","",SUMIFS('Stock Log'!$D$2:$D$600,'Stock Log'!$B$2:$B$600,B49))</f>
        <v/>
      </c>
      <c r="U49" s="10">
        <f>IF(B49="","",IF(T49=Q49,"OK","CHECK"))</f>
        <v/>
      </c>
    </row>
    <row r="50">
      <c r="N50" s="8">
        <f>IF(OR(K50="",L50=""),"",(L50-K50)/L50)</f>
        <v/>
      </c>
      <c r="O50" s="9" t="n"/>
      <c r="S50" s="10">
        <f>IF(Q50="","",IF(Q50&lt;=0,"OUT OF STOCK",IF(Q50&lt;=R50,"REORDER","OK")))</f>
        <v/>
      </c>
      <c r="T50" s="10">
        <f>IF(B50="","",SUMIFS('Stock Log'!$D$2:$D$600,'Stock Log'!$B$2:$B$600,B50))</f>
        <v/>
      </c>
      <c r="U50" s="10">
        <f>IF(B50="","",IF(T50=Q50,"OK","CHECK"))</f>
        <v/>
      </c>
    </row>
    <row r="51">
      <c r="N51" s="8">
        <f>IF(OR(K51="",L51=""),"",(L51-K51)/L51)</f>
        <v/>
      </c>
      <c r="O51" s="9" t="n"/>
      <c r="S51" s="10">
        <f>IF(Q51="","",IF(Q51&lt;=0,"OUT OF STOCK",IF(Q51&lt;=R51,"REORDER","OK")))</f>
        <v/>
      </c>
      <c r="T51" s="10">
        <f>IF(B51="","",SUMIFS('Stock Log'!$D$2:$D$600,'Stock Log'!$B$2:$B$600,B51))</f>
        <v/>
      </c>
      <c r="U51" s="10">
        <f>IF(B51="","",IF(T51=Q51,"OK","CHECK"))</f>
        <v/>
      </c>
    </row>
    <row r="52">
      <c r="N52" s="8">
        <f>IF(OR(K52="",L52=""),"",(L52-K52)/L52)</f>
        <v/>
      </c>
      <c r="O52" s="9" t="n"/>
      <c r="S52" s="10">
        <f>IF(Q52="","",IF(Q52&lt;=0,"OUT OF STOCK",IF(Q52&lt;=R52,"REORDER","OK")))</f>
        <v/>
      </c>
      <c r="T52" s="10">
        <f>IF(B52="","",SUMIFS('Stock Log'!$D$2:$D$600,'Stock Log'!$B$2:$B$600,B52))</f>
        <v/>
      </c>
      <c r="U52" s="10">
        <f>IF(B52="","",IF(T52=Q52,"OK","CHECK"))</f>
        <v/>
      </c>
    </row>
    <row r="53">
      <c r="N53" s="8">
        <f>IF(OR(K53="",L53=""),"",(L53-K53)/L53)</f>
        <v/>
      </c>
      <c r="O53" s="9" t="n"/>
      <c r="S53" s="10">
        <f>IF(Q53="","",IF(Q53&lt;=0,"OUT OF STOCK",IF(Q53&lt;=R53,"REORDER","OK")))</f>
        <v/>
      </c>
      <c r="T53" s="10">
        <f>IF(B53="","",SUMIFS('Stock Log'!$D$2:$D$600,'Stock Log'!$B$2:$B$600,B53))</f>
        <v/>
      </c>
      <c r="U53" s="10">
        <f>IF(B53="","",IF(T53=Q53,"OK","CHECK"))</f>
        <v/>
      </c>
    </row>
    <row r="54">
      <c r="N54" s="8">
        <f>IF(OR(K54="",L54=""),"",(L54-K54)/L54)</f>
        <v/>
      </c>
      <c r="O54" s="9" t="n"/>
      <c r="S54" s="10">
        <f>IF(Q54="","",IF(Q54&lt;=0,"OUT OF STOCK",IF(Q54&lt;=R54,"REORDER","OK")))</f>
        <v/>
      </c>
      <c r="T54" s="10">
        <f>IF(B54="","",SUMIFS('Stock Log'!$D$2:$D$600,'Stock Log'!$B$2:$B$600,B54))</f>
        <v/>
      </c>
      <c r="U54" s="10">
        <f>IF(B54="","",IF(T54=Q54,"OK","CHECK"))</f>
        <v/>
      </c>
    </row>
    <row r="55">
      <c r="N55" s="8">
        <f>IF(OR(K55="",L55=""),"",(L55-K55)/L55)</f>
        <v/>
      </c>
      <c r="O55" s="9" t="n"/>
      <c r="S55" s="10">
        <f>IF(Q55="","",IF(Q55&lt;=0,"OUT OF STOCK",IF(Q55&lt;=R55,"REORDER","OK")))</f>
        <v/>
      </c>
      <c r="T55" s="10">
        <f>IF(B55="","",SUMIFS('Stock Log'!$D$2:$D$600,'Stock Log'!$B$2:$B$600,B55))</f>
        <v/>
      </c>
      <c r="U55" s="10">
        <f>IF(B55="","",IF(T55=Q55,"OK","CHECK"))</f>
        <v/>
      </c>
    </row>
    <row r="56">
      <c r="N56" s="8">
        <f>IF(OR(K56="",L56=""),"",(L56-K56)/L56)</f>
        <v/>
      </c>
      <c r="O56" s="9" t="n"/>
      <c r="S56" s="10">
        <f>IF(Q56="","",IF(Q56&lt;=0,"OUT OF STOCK",IF(Q56&lt;=R56,"REORDER","OK")))</f>
        <v/>
      </c>
      <c r="T56" s="10">
        <f>IF(B56="","",SUMIFS('Stock Log'!$D$2:$D$600,'Stock Log'!$B$2:$B$600,B56))</f>
        <v/>
      </c>
      <c r="U56" s="10">
        <f>IF(B56="","",IF(T56=Q56,"OK","CHECK"))</f>
        <v/>
      </c>
    </row>
    <row r="57">
      <c r="N57" s="8">
        <f>IF(OR(K57="",L57=""),"",(L57-K57)/L57)</f>
        <v/>
      </c>
      <c r="O57" s="9" t="n"/>
      <c r="S57" s="10">
        <f>IF(Q57="","",IF(Q57&lt;=0,"OUT OF STOCK",IF(Q57&lt;=R57,"REORDER","OK")))</f>
        <v/>
      </c>
      <c r="T57" s="10">
        <f>IF(B57="","",SUMIFS('Stock Log'!$D$2:$D$600,'Stock Log'!$B$2:$B$600,B57))</f>
        <v/>
      </c>
      <c r="U57" s="10">
        <f>IF(B57="","",IF(T57=Q57,"OK","CHECK"))</f>
        <v/>
      </c>
    </row>
    <row r="58">
      <c r="N58" s="8">
        <f>IF(OR(K58="",L58=""),"",(L58-K58)/L58)</f>
        <v/>
      </c>
      <c r="O58" s="9" t="n"/>
      <c r="S58" s="10">
        <f>IF(Q58="","",IF(Q58&lt;=0,"OUT OF STOCK",IF(Q58&lt;=R58,"REORDER","OK")))</f>
        <v/>
      </c>
      <c r="T58" s="10">
        <f>IF(B58="","",SUMIFS('Stock Log'!$D$2:$D$600,'Stock Log'!$B$2:$B$600,B58))</f>
        <v/>
      </c>
      <c r="U58" s="10">
        <f>IF(B58="","",IF(T58=Q58,"OK","CHECK"))</f>
        <v/>
      </c>
    </row>
    <row r="59">
      <c r="N59" s="8">
        <f>IF(OR(K59="",L59=""),"",(L59-K59)/L59)</f>
        <v/>
      </c>
      <c r="O59" s="9" t="n"/>
      <c r="S59" s="10">
        <f>IF(Q59="","",IF(Q59&lt;=0,"OUT OF STOCK",IF(Q59&lt;=R59,"REORDER","OK")))</f>
        <v/>
      </c>
      <c r="T59" s="10">
        <f>IF(B59="","",SUMIFS('Stock Log'!$D$2:$D$600,'Stock Log'!$B$2:$B$600,B59))</f>
        <v/>
      </c>
      <c r="U59" s="10">
        <f>IF(B59="","",IF(T59=Q59,"OK","CHECK"))</f>
        <v/>
      </c>
    </row>
    <row r="60">
      <c r="N60" s="8">
        <f>IF(OR(K60="",L60=""),"",(L60-K60)/L60)</f>
        <v/>
      </c>
      <c r="O60" s="9" t="n"/>
      <c r="S60" s="10">
        <f>IF(Q60="","",IF(Q60&lt;=0,"OUT OF STOCK",IF(Q60&lt;=R60,"REORDER","OK")))</f>
        <v/>
      </c>
      <c r="T60" s="10">
        <f>IF(B60="","",SUMIFS('Stock Log'!$D$2:$D$600,'Stock Log'!$B$2:$B$600,B60))</f>
        <v/>
      </c>
      <c r="U60" s="10">
        <f>IF(B60="","",IF(T60=Q60,"OK","CHECK"))</f>
        <v/>
      </c>
    </row>
    <row r="61">
      <c r="N61" s="8">
        <f>IF(OR(K61="",L61=""),"",(L61-K61)/L61)</f>
        <v/>
      </c>
      <c r="O61" s="9" t="n"/>
      <c r="S61" s="10">
        <f>IF(Q61="","",IF(Q61&lt;=0,"OUT OF STOCK",IF(Q61&lt;=R61,"REORDER","OK")))</f>
        <v/>
      </c>
      <c r="T61" s="10">
        <f>IF(B61="","",SUMIFS('Stock Log'!$D$2:$D$600,'Stock Log'!$B$2:$B$600,B61))</f>
        <v/>
      </c>
      <c r="U61" s="10">
        <f>IF(B61="","",IF(T61=Q61,"OK","CHECK"))</f>
        <v/>
      </c>
    </row>
    <row r="62">
      <c r="N62" s="8">
        <f>IF(OR(K62="",L62=""),"",(L62-K62)/L62)</f>
        <v/>
      </c>
      <c r="O62" s="9" t="n"/>
      <c r="S62" s="10">
        <f>IF(Q62="","",IF(Q62&lt;=0,"OUT OF STOCK",IF(Q62&lt;=R62,"REORDER","OK")))</f>
        <v/>
      </c>
      <c r="T62" s="10">
        <f>IF(B62="","",SUMIFS('Stock Log'!$D$2:$D$600,'Stock Log'!$B$2:$B$600,B62))</f>
        <v/>
      </c>
      <c r="U62" s="10">
        <f>IF(B62="","",IF(T62=Q62,"OK","CHECK"))</f>
        <v/>
      </c>
    </row>
    <row r="63">
      <c r="N63" s="8">
        <f>IF(OR(K63="",L63=""),"",(L63-K63)/L63)</f>
        <v/>
      </c>
      <c r="O63" s="9" t="n"/>
      <c r="S63" s="10">
        <f>IF(Q63="","",IF(Q63&lt;=0,"OUT OF STOCK",IF(Q63&lt;=R63,"REORDER","OK")))</f>
        <v/>
      </c>
      <c r="T63" s="10">
        <f>IF(B63="","",SUMIFS('Stock Log'!$D$2:$D$600,'Stock Log'!$B$2:$B$600,B63))</f>
        <v/>
      </c>
      <c r="U63" s="10">
        <f>IF(B63="","",IF(T63=Q63,"OK","CHECK"))</f>
        <v/>
      </c>
    </row>
    <row r="64">
      <c r="N64" s="8">
        <f>IF(OR(K64="",L64=""),"",(L64-K64)/L64)</f>
        <v/>
      </c>
      <c r="O64" s="9" t="n"/>
      <c r="S64" s="10">
        <f>IF(Q64="","",IF(Q64&lt;=0,"OUT OF STOCK",IF(Q64&lt;=R64,"REORDER","OK")))</f>
        <v/>
      </c>
      <c r="T64" s="10">
        <f>IF(B64="","",SUMIFS('Stock Log'!$D$2:$D$600,'Stock Log'!$B$2:$B$600,B64))</f>
        <v/>
      </c>
      <c r="U64" s="10">
        <f>IF(B64="","",IF(T64=Q64,"OK","CHECK"))</f>
        <v/>
      </c>
    </row>
    <row r="65">
      <c r="N65" s="8">
        <f>IF(OR(K65="",L65=""),"",(L65-K65)/L65)</f>
        <v/>
      </c>
      <c r="O65" s="9" t="n"/>
      <c r="S65" s="10">
        <f>IF(Q65="","",IF(Q65&lt;=0,"OUT OF STOCK",IF(Q65&lt;=R65,"REORDER","OK")))</f>
        <v/>
      </c>
      <c r="T65" s="10">
        <f>IF(B65="","",SUMIFS('Stock Log'!$D$2:$D$600,'Stock Log'!$B$2:$B$600,B65))</f>
        <v/>
      </c>
      <c r="U65" s="10">
        <f>IF(B65="","",IF(T65=Q65,"OK","CHECK"))</f>
        <v/>
      </c>
    </row>
    <row r="66">
      <c r="N66" s="8">
        <f>IF(OR(K66="",L66=""),"",(L66-K66)/L66)</f>
        <v/>
      </c>
      <c r="O66" s="9" t="n"/>
      <c r="S66" s="10">
        <f>IF(Q66="","",IF(Q66&lt;=0,"OUT OF STOCK",IF(Q66&lt;=R66,"REORDER","OK")))</f>
        <v/>
      </c>
      <c r="T66" s="10">
        <f>IF(B66="","",SUMIFS('Stock Log'!$D$2:$D$600,'Stock Log'!$B$2:$B$600,B66))</f>
        <v/>
      </c>
      <c r="U66" s="10">
        <f>IF(B66="","",IF(T66=Q66,"OK","CHECK"))</f>
        <v/>
      </c>
    </row>
    <row r="67">
      <c r="N67" s="8">
        <f>IF(OR(K67="",L67=""),"",(L67-K67)/L67)</f>
        <v/>
      </c>
      <c r="O67" s="9" t="n"/>
      <c r="S67" s="10">
        <f>IF(Q67="","",IF(Q67&lt;=0,"OUT OF STOCK",IF(Q67&lt;=R67,"REORDER","OK")))</f>
        <v/>
      </c>
      <c r="T67" s="10">
        <f>IF(B67="","",SUMIFS('Stock Log'!$D$2:$D$600,'Stock Log'!$B$2:$B$600,B67))</f>
        <v/>
      </c>
      <c r="U67" s="10">
        <f>IF(B67="","",IF(T67=Q67,"OK","CHECK"))</f>
        <v/>
      </c>
    </row>
    <row r="68">
      <c r="N68" s="8">
        <f>IF(OR(K68="",L68=""),"",(L68-K68)/L68)</f>
        <v/>
      </c>
      <c r="O68" s="9" t="n"/>
      <c r="S68" s="10">
        <f>IF(Q68="","",IF(Q68&lt;=0,"OUT OF STOCK",IF(Q68&lt;=R68,"REORDER","OK")))</f>
        <v/>
      </c>
      <c r="T68" s="10">
        <f>IF(B68="","",SUMIFS('Stock Log'!$D$2:$D$600,'Stock Log'!$B$2:$B$600,B68))</f>
        <v/>
      </c>
      <c r="U68" s="10">
        <f>IF(B68="","",IF(T68=Q68,"OK","CHECK"))</f>
        <v/>
      </c>
    </row>
    <row r="69">
      <c r="N69" s="8">
        <f>IF(OR(K69="",L69=""),"",(L69-K69)/L69)</f>
        <v/>
      </c>
      <c r="O69" s="9" t="n"/>
      <c r="S69" s="10">
        <f>IF(Q69="","",IF(Q69&lt;=0,"OUT OF STOCK",IF(Q69&lt;=R69,"REORDER","OK")))</f>
        <v/>
      </c>
      <c r="T69" s="10">
        <f>IF(B69="","",SUMIFS('Stock Log'!$D$2:$D$600,'Stock Log'!$B$2:$B$600,B69))</f>
        <v/>
      </c>
      <c r="U69" s="10">
        <f>IF(B69="","",IF(T69=Q69,"OK","CHECK"))</f>
        <v/>
      </c>
    </row>
    <row r="70">
      <c r="N70" s="8">
        <f>IF(OR(K70="",L70=""),"",(L70-K70)/L70)</f>
        <v/>
      </c>
      <c r="O70" s="9" t="n"/>
      <c r="S70" s="10">
        <f>IF(Q70="","",IF(Q70&lt;=0,"OUT OF STOCK",IF(Q70&lt;=R70,"REORDER","OK")))</f>
        <v/>
      </c>
      <c r="T70" s="10">
        <f>IF(B70="","",SUMIFS('Stock Log'!$D$2:$D$600,'Stock Log'!$B$2:$B$600,B70))</f>
        <v/>
      </c>
      <c r="U70" s="10">
        <f>IF(B70="","",IF(T70=Q70,"OK","CHECK"))</f>
        <v/>
      </c>
    </row>
    <row r="71">
      <c r="N71" s="8">
        <f>IF(OR(K71="",L71=""),"",(L71-K71)/L71)</f>
        <v/>
      </c>
      <c r="O71" s="9" t="n"/>
      <c r="S71" s="10">
        <f>IF(Q71="","",IF(Q71&lt;=0,"OUT OF STOCK",IF(Q71&lt;=R71,"REORDER","OK")))</f>
        <v/>
      </c>
      <c r="T71" s="10">
        <f>IF(B71="","",SUMIFS('Stock Log'!$D$2:$D$600,'Stock Log'!$B$2:$B$600,B71))</f>
        <v/>
      </c>
      <c r="U71" s="10">
        <f>IF(B71="","",IF(T71=Q71,"OK","CHECK"))</f>
        <v/>
      </c>
    </row>
    <row r="72">
      <c r="N72" s="8">
        <f>IF(OR(K72="",L72=""),"",(L72-K72)/L72)</f>
        <v/>
      </c>
      <c r="O72" s="9" t="n"/>
      <c r="S72" s="10">
        <f>IF(Q72="","",IF(Q72&lt;=0,"OUT OF STOCK",IF(Q72&lt;=R72,"REORDER","OK")))</f>
        <v/>
      </c>
      <c r="T72" s="10">
        <f>IF(B72="","",SUMIFS('Stock Log'!$D$2:$D$600,'Stock Log'!$B$2:$B$600,B72))</f>
        <v/>
      </c>
      <c r="U72" s="10">
        <f>IF(B72="","",IF(T72=Q72,"OK","CHECK"))</f>
        <v/>
      </c>
    </row>
    <row r="73">
      <c r="N73" s="8">
        <f>IF(OR(K73="",L73=""),"",(L73-K73)/L73)</f>
        <v/>
      </c>
      <c r="O73" s="9" t="n"/>
      <c r="S73" s="10">
        <f>IF(Q73="","",IF(Q73&lt;=0,"OUT OF STOCK",IF(Q73&lt;=R73,"REORDER","OK")))</f>
        <v/>
      </c>
      <c r="T73" s="10">
        <f>IF(B73="","",SUMIFS('Stock Log'!$D$2:$D$600,'Stock Log'!$B$2:$B$600,B73))</f>
        <v/>
      </c>
      <c r="U73" s="10">
        <f>IF(B73="","",IF(T73=Q73,"OK","CHECK"))</f>
        <v/>
      </c>
    </row>
    <row r="74">
      <c r="N74" s="8">
        <f>IF(OR(K74="",L74=""),"",(L74-K74)/L74)</f>
        <v/>
      </c>
      <c r="O74" s="9" t="n"/>
      <c r="S74" s="10">
        <f>IF(Q74="","",IF(Q74&lt;=0,"OUT OF STOCK",IF(Q74&lt;=R74,"REORDER","OK")))</f>
        <v/>
      </c>
      <c r="T74" s="10">
        <f>IF(B74="","",SUMIFS('Stock Log'!$D$2:$D$600,'Stock Log'!$B$2:$B$600,B74))</f>
        <v/>
      </c>
      <c r="U74" s="10">
        <f>IF(B74="","",IF(T74=Q74,"OK","CHECK"))</f>
        <v/>
      </c>
    </row>
    <row r="75">
      <c r="N75" s="8">
        <f>IF(OR(K75="",L75=""),"",(L75-K75)/L75)</f>
        <v/>
      </c>
      <c r="O75" s="9" t="n"/>
      <c r="S75" s="10">
        <f>IF(Q75="","",IF(Q75&lt;=0,"OUT OF STOCK",IF(Q75&lt;=R75,"REORDER","OK")))</f>
        <v/>
      </c>
      <c r="T75" s="10">
        <f>IF(B75="","",SUMIFS('Stock Log'!$D$2:$D$600,'Stock Log'!$B$2:$B$600,B75))</f>
        <v/>
      </c>
      <c r="U75" s="10">
        <f>IF(B75="","",IF(T75=Q75,"OK","CHECK"))</f>
        <v/>
      </c>
    </row>
    <row r="76">
      <c r="N76" s="8">
        <f>IF(OR(K76="",L76=""),"",(L76-K76)/L76)</f>
        <v/>
      </c>
      <c r="O76" s="9" t="n"/>
      <c r="S76" s="10">
        <f>IF(Q76="","",IF(Q76&lt;=0,"OUT OF STOCK",IF(Q76&lt;=R76,"REORDER","OK")))</f>
        <v/>
      </c>
      <c r="T76" s="10">
        <f>IF(B76="","",SUMIFS('Stock Log'!$D$2:$D$600,'Stock Log'!$B$2:$B$600,B76))</f>
        <v/>
      </c>
      <c r="U76" s="10">
        <f>IF(B76="","",IF(T76=Q76,"OK","CHECK"))</f>
        <v/>
      </c>
    </row>
    <row r="77">
      <c r="N77" s="8">
        <f>IF(OR(K77="",L77=""),"",(L77-K77)/L77)</f>
        <v/>
      </c>
      <c r="O77" s="9" t="n"/>
      <c r="S77" s="10">
        <f>IF(Q77="","",IF(Q77&lt;=0,"OUT OF STOCK",IF(Q77&lt;=R77,"REORDER","OK")))</f>
        <v/>
      </c>
      <c r="T77" s="10">
        <f>IF(B77="","",SUMIFS('Stock Log'!$D$2:$D$600,'Stock Log'!$B$2:$B$600,B77))</f>
        <v/>
      </c>
      <c r="U77" s="10">
        <f>IF(B77="","",IF(T77=Q77,"OK","CHECK"))</f>
        <v/>
      </c>
    </row>
    <row r="78">
      <c r="N78" s="8">
        <f>IF(OR(K78="",L78=""),"",(L78-K78)/L78)</f>
        <v/>
      </c>
      <c r="O78" s="9" t="n"/>
      <c r="S78" s="10">
        <f>IF(Q78="","",IF(Q78&lt;=0,"OUT OF STOCK",IF(Q78&lt;=R78,"REORDER","OK")))</f>
        <v/>
      </c>
      <c r="T78" s="10">
        <f>IF(B78="","",SUMIFS('Stock Log'!$D$2:$D$600,'Stock Log'!$B$2:$B$600,B78))</f>
        <v/>
      </c>
      <c r="U78" s="10">
        <f>IF(B78="","",IF(T78=Q78,"OK","CHECK"))</f>
        <v/>
      </c>
    </row>
    <row r="79">
      <c r="N79" s="8">
        <f>IF(OR(K79="",L79=""),"",(L79-K79)/L79)</f>
        <v/>
      </c>
      <c r="O79" s="9" t="n"/>
      <c r="S79" s="10">
        <f>IF(Q79="","",IF(Q79&lt;=0,"OUT OF STOCK",IF(Q79&lt;=R79,"REORDER","OK")))</f>
        <v/>
      </c>
      <c r="T79" s="10">
        <f>IF(B79="","",SUMIFS('Stock Log'!$D$2:$D$600,'Stock Log'!$B$2:$B$600,B79))</f>
        <v/>
      </c>
      <c r="U79" s="10">
        <f>IF(B79="","",IF(T79=Q79,"OK","CHECK"))</f>
        <v/>
      </c>
    </row>
    <row r="80">
      <c r="N80" s="8">
        <f>IF(OR(K80="",L80=""),"",(L80-K80)/L80)</f>
        <v/>
      </c>
      <c r="O80" s="9" t="n"/>
      <c r="S80" s="10">
        <f>IF(Q80="","",IF(Q80&lt;=0,"OUT OF STOCK",IF(Q80&lt;=R80,"REORDER","OK")))</f>
        <v/>
      </c>
      <c r="T80" s="10">
        <f>IF(B80="","",SUMIFS('Stock Log'!$D$2:$D$600,'Stock Log'!$B$2:$B$600,B80))</f>
        <v/>
      </c>
      <c r="U80" s="10">
        <f>IF(B80="","",IF(T80=Q80,"OK","CHECK"))</f>
        <v/>
      </c>
    </row>
    <row r="81">
      <c r="N81" s="8">
        <f>IF(OR(K81="",L81=""),"",(L81-K81)/L81)</f>
        <v/>
      </c>
      <c r="O81" s="9" t="n"/>
      <c r="S81" s="10">
        <f>IF(Q81="","",IF(Q81&lt;=0,"OUT OF STOCK",IF(Q81&lt;=R81,"REORDER","OK")))</f>
        <v/>
      </c>
      <c r="T81" s="10">
        <f>IF(B81="","",SUMIFS('Stock Log'!$D$2:$D$600,'Stock Log'!$B$2:$B$600,B81))</f>
        <v/>
      </c>
      <c r="U81" s="10">
        <f>IF(B81="","",IF(T81=Q81,"OK","CHECK"))</f>
        <v/>
      </c>
    </row>
    <row r="82">
      <c r="N82" s="8">
        <f>IF(OR(K82="",L82=""),"",(L82-K82)/L82)</f>
        <v/>
      </c>
      <c r="O82" s="9" t="n"/>
      <c r="S82" s="10">
        <f>IF(Q82="","",IF(Q82&lt;=0,"OUT OF STOCK",IF(Q82&lt;=R82,"REORDER","OK")))</f>
        <v/>
      </c>
      <c r="T82" s="10">
        <f>IF(B82="","",SUMIFS('Stock Log'!$D$2:$D$600,'Stock Log'!$B$2:$B$600,B82))</f>
        <v/>
      </c>
      <c r="U82" s="10">
        <f>IF(B82="","",IF(T82=Q82,"OK","CHECK"))</f>
        <v/>
      </c>
    </row>
    <row r="83">
      <c r="N83" s="8">
        <f>IF(OR(K83="",L83=""),"",(L83-K83)/L83)</f>
        <v/>
      </c>
      <c r="O83" s="9" t="n"/>
      <c r="S83" s="10">
        <f>IF(Q83="","",IF(Q83&lt;=0,"OUT OF STOCK",IF(Q83&lt;=R83,"REORDER","OK")))</f>
        <v/>
      </c>
      <c r="T83" s="10">
        <f>IF(B83="","",SUMIFS('Stock Log'!$D$2:$D$600,'Stock Log'!$B$2:$B$600,B83))</f>
        <v/>
      </c>
      <c r="U83" s="10">
        <f>IF(B83="","",IF(T83=Q83,"OK","CHECK"))</f>
        <v/>
      </c>
    </row>
    <row r="84">
      <c r="N84" s="8">
        <f>IF(OR(K84="",L84=""),"",(L84-K84)/L84)</f>
        <v/>
      </c>
      <c r="O84" s="9" t="n"/>
      <c r="S84" s="10">
        <f>IF(Q84="","",IF(Q84&lt;=0,"OUT OF STOCK",IF(Q84&lt;=R84,"REORDER","OK")))</f>
        <v/>
      </c>
      <c r="T84" s="10">
        <f>IF(B84="","",SUMIFS('Stock Log'!$D$2:$D$600,'Stock Log'!$B$2:$B$600,B84))</f>
        <v/>
      </c>
      <c r="U84" s="10">
        <f>IF(B84="","",IF(T84=Q84,"OK","CHECK"))</f>
        <v/>
      </c>
    </row>
    <row r="85">
      <c r="N85" s="8">
        <f>IF(OR(K85="",L85=""),"",(L85-K85)/L85)</f>
        <v/>
      </c>
      <c r="O85" s="9" t="n"/>
      <c r="S85" s="10">
        <f>IF(Q85="","",IF(Q85&lt;=0,"OUT OF STOCK",IF(Q85&lt;=R85,"REORDER","OK")))</f>
        <v/>
      </c>
      <c r="T85" s="10">
        <f>IF(B85="","",SUMIFS('Stock Log'!$D$2:$D$600,'Stock Log'!$B$2:$B$600,B85))</f>
        <v/>
      </c>
      <c r="U85" s="10">
        <f>IF(B85="","",IF(T85=Q85,"OK","CHECK"))</f>
        <v/>
      </c>
    </row>
    <row r="86">
      <c r="N86" s="8">
        <f>IF(OR(K86="",L86=""),"",(L86-K86)/L86)</f>
        <v/>
      </c>
      <c r="O86" s="9" t="n"/>
      <c r="S86" s="10">
        <f>IF(Q86="","",IF(Q86&lt;=0,"OUT OF STOCK",IF(Q86&lt;=R86,"REORDER","OK")))</f>
        <v/>
      </c>
      <c r="T86" s="10">
        <f>IF(B86="","",SUMIFS('Stock Log'!$D$2:$D$600,'Stock Log'!$B$2:$B$600,B86))</f>
        <v/>
      </c>
      <c r="U86" s="10">
        <f>IF(B86="","",IF(T86=Q86,"OK","CHECK"))</f>
        <v/>
      </c>
    </row>
    <row r="87">
      <c r="N87" s="8">
        <f>IF(OR(K87="",L87=""),"",(L87-K87)/L87)</f>
        <v/>
      </c>
      <c r="O87" s="9" t="n"/>
      <c r="S87" s="10">
        <f>IF(Q87="","",IF(Q87&lt;=0,"OUT OF STOCK",IF(Q87&lt;=R87,"REORDER","OK")))</f>
        <v/>
      </c>
      <c r="T87" s="10">
        <f>IF(B87="","",SUMIFS('Stock Log'!$D$2:$D$600,'Stock Log'!$B$2:$B$600,B87))</f>
        <v/>
      </c>
      <c r="U87" s="10">
        <f>IF(B87="","",IF(T87=Q87,"OK","CHECK"))</f>
        <v/>
      </c>
    </row>
    <row r="88">
      <c r="N88" s="8">
        <f>IF(OR(K88="",L88=""),"",(L88-K88)/L88)</f>
        <v/>
      </c>
      <c r="O88" s="9" t="n"/>
      <c r="S88" s="10">
        <f>IF(Q88="","",IF(Q88&lt;=0,"OUT OF STOCK",IF(Q88&lt;=R88,"REORDER","OK")))</f>
        <v/>
      </c>
      <c r="T88" s="10">
        <f>IF(B88="","",SUMIFS('Stock Log'!$D$2:$D$600,'Stock Log'!$B$2:$B$600,B88))</f>
        <v/>
      </c>
      <c r="U88" s="10">
        <f>IF(B88="","",IF(T88=Q88,"OK","CHECK"))</f>
        <v/>
      </c>
    </row>
    <row r="89">
      <c r="N89" s="8">
        <f>IF(OR(K89="",L89=""),"",(L89-K89)/L89)</f>
        <v/>
      </c>
      <c r="O89" s="9" t="n"/>
      <c r="S89" s="10">
        <f>IF(Q89="","",IF(Q89&lt;=0,"OUT OF STOCK",IF(Q89&lt;=R89,"REORDER","OK")))</f>
        <v/>
      </c>
      <c r="T89" s="10">
        <f>IF(B89="","",SUMIFS('Stock Log'!$D$2:$D$600,'Stock Log'!$B$2:$B$600,B89))</f>
        <v/>
      </c>
      <c r="U89" s="10">
        <f>IF(B89="","",IF(T89=Q89,"OK","CHECK"))</f>
        <v/>
      </c>
    </row>
    <row r="90">
      <c r="N90" s="8">
        <f>IF(OR(K90="",L90=""),"",(L90-K90)/L90)</f>
        <v/>
      </c>
      <c r="O90" s="9" t="n"/>
      <c r="S90" s="10">
        <f>IF(Q90="","",IF(Q90&lt;=0,"OUT OF STOCK",IF(Q90&lt;=R90,"REORDER","OK")))</f>
        <v/>
      </c>
      <c r="T90" s="10">
        <f>IF(B90="","",SUMIFS('Stock Log'!$D$2:$D$600,'Stock Log'!$B$2:$B$600,B90))</f>
        <v/>
      </c>
      <c r="U90" s="10">
        <f>IF(B90="","",IF(T90=Q90,"OK","CHECK"))</f>
        <v/>
      </c>
    </row>
    <row r="91">
      <c r="N91" s="8">
        <f>IF(OR(K91="",L91=""),"",(L91-K91)/L91)</f>
        <v/>
      </c>
      <c r="O91" s="9" t="n"/>
      <c r="S91" s="10">
        <f>IF(Q91="","",IF(Q91&lt;=0,"OUT OF STOCK",IF(Q91&lt;=R91,"REORDER","OK")))</f>
        <v/>
      </c>
      <c r="T91" s="10">
        <f>IF(B91="","",SUMIFS('Stock Log'!$D$2:$D$600,'Stock Log'!$B$2:$B$600,B91))</f>
        <v/>
      </c>
      <c r="U91" s="10">
        <f>IF(B91="","",IF(T91=Q91,"OK","CHECK"))</f>
        <v/>
      </c>
    </row>
    <row r="92">
      <c r="N92" s="8">
        <f>IF(OR(K92="",L92=""),"",(L92-K92)/L92)</f>
        <v/>
      </c>
      <c r="O92" s="9" t="n"/>
      <c r="S92" s="10">
        <f>IF(Q92="","",IF(Q92&lt;=0,"OUT OF STOCK",IF(Q92&lt;=R92,"REORDER","OK")))</f>
        <v/>
      </c>
      <c r="T92" s="10">
        <f>IF(B92="","",SUMIFS('Stock Log'!$D$2:$D$600,'Stock Log'!$B$2:$B$600,B92))</f>
        <v/>
      </c>
      <c r="U92" s="10">
        <f>IF(B92="","",IF(T92=Q92,"OK","CHECK"))</f>
        <v/>
      </c>
    </row>
    <row r="93">
      <c r="N93" s="8">
        <f>IF(OR(K93="",L93=""),"",(L93-K93)/L93)</f>
        <v/>
      </c>
      <c r="O93" s="9" t="n"/>
      <c r="S93" s="10">
        <f>IF(Q93="","",IF(Q93&lt;=0,"OUT OF STOCK",IF(Q93&lt;=R93,"REORDER","OK")))</f>
        <v/>
      </c>
      <c r="T93" s="10">
        <f>IF(B93="","",SUMIFS('Stock Log'!$D$2:$D$600,'Stock Log'!$B$2:$B$600,B93))</f>
        <v/>
      </c>
      <c r="U93" s="10">
        <f>IF(B93="","",IF(T93=Q93,"OK","CHECK"))</f>
        <v/>
      </c>
    </row>
    <row r="94">
      <c r="N94" s="8">
        <f>IF(OR(K94="",L94=""),"",(L94-K94)/L94)</f>
        <v/>
      </c>
      <c r="O94" s="9" t="n"/>
      <c r="S94" s="10">
        <f>IF(Q94="","",IF(Q94&lt;=0,"OUT OF STOCK",IF(Q94&lt;=R94,"REORDER","OK")))</f>
        <v/>
      </c>
      <c r="T94" s="10">
        <f>IF(B94="","",SUMIFS('Stock Log'!$D$2:$D$600,'Stock Log'!$B$2:$B$600,B94))</f>
        <v/>
      </c>
      <c r="U94" s="10">
        <f>IF(B94="","",IF(T94=Q94,"OK","CHECK"))</f>
        <v/>
      </c>
    </row>
    <row r="95">
      <c r="N95" s="8">
        <f>IF(OR(K95="",L95=""),"",(L95-K95)/L95)</f>
        <v/>
      </c>
      <c r="O95" s="9" t="n"/>
      <c r="S95" s="10">
        <f>IF(Q95="","",IF(Q95&lt;=0,"OUT OF STOCK",IF(Q95&lt;=R95,"REORDER","OK")))</f>
        <v/>
      </c>
      <c r="T95" s="10">
        <f>IF(B95="","",SUMIFS('Stock Log'!$D$2:$D$600,'Stock Log'!$B$2:$B$600,B95))</f>
        <v/>
      </c>
      <c r="U95" s="10">
        <f>IF(B95="","",IF(T95=Q95,"OK","CHECK"))</f>
        <v/>
      </c>
    </row>
    <row r="96">
      <c r="N96" s="8">
        <f>IF(OR(K96="",L96=""),"",(L96-K96)/L96)</f>
        <v/>
      </c>
      <c r="O96" s="9" t="n"/>
      <c r="S96" s="10">
        <f>IF(Q96="","",IF(Q96&lt;=0,"OUT OF STOCK",IF(Q96&lt;=R96,"REORDER","OK")))</f>
        <v/>
      </c>
      <c r="T96" s="10">
        <f>IF(B96="","",SUMIFS('Stock Log'!$D$2:$D$600,'Stock Log'!$B$2:$B$600,B96))</f>
        <v/>
      </c>
      <c r="U96" s="10">
        <f>IF(B96="","",IF(T96=Q96,"OK","CHECK"))</f>
        <v/>
      </c>
    </row>
    <row r="97">
      <c r="N97" s="8">
        <f>IF(OR(K97="",L97=""),"",(L97-K97)/L97)</f>
        <v/>
      </c>
      <c r="O97" s="9" t="n"/>
      <c r="S97" s="10">
        <f>IF(Q97="","",IF(Q97&lt;=0,"OUT OF STOCK",IF(Q97&lt;=R97,"REORDER","OK")))</f>
        <v/>
      </c>
      <c r="T97" s="10">
        <f>IF(B97="","",SUMIFS('Stock Log'!$D$2:$D$600,'Stock Log'!$B$2:$B$600,B97))</f>
        <v/>
      </c>
      <c r="U97" s="10">
        <f>IF(B97="","",IF(T97=Q97,"OK","CHECK"))</f>
        <v/>
      </c>
    </row>
    <row r="98">
      <c r="N98" s="8">
        <f>IF(OR(K98="",L98=""),"",(L98-K98)/L98)</f>
        <v/>
      </c>
      <c r="O98" s="9" t="n"/>
      <c r="S98" s="10">
        <f>IF(Q98="","",IF(Q98&lt;=0,"OUT OF STOCK",IF(Q98&lt;=R98,"REORDER","OK")))</f>
        <v/>
      </c>
      <c r="T98" s="10">
        <f>IF(B98="","",SUMIFS('Stock Log'!$D$2:$D$600,'Stock Log'!$B$2:$B$600,B98))</f>
        <v/>
      </c>
      <c r="U98" s="10">
        <f>IF(B98="","",IF(T98=Q98,"OK","CHECK"))</f>
        <v/>
      </c>
    </row>
    <row r="99">
      <c r="N99" s="8">
        <f>IF(OR(K99="",L99=""),"",(L99-K99)/L99)</f>
        <v/>
      </c>
      <c r="O99" s="9" t="n"/>
      <c r="S99" s="10">
        <f>IF(Q99="","",IF(Q99&lt;=0,"OUT OF STOCK",IF(Q99&lt;=R99,"REORDER","OK")))</f>
        <v/>
      </c>
      <c r="T99" s="10">
        <f>IF(B99="","",SUMIFS('Stock Log'!$D$2:$D$600,'Stock Log'!$B$2:$B$600,B99))</f>
        <v/>
      </c>
      <c r="U99" s="10">
        <f>IF(B99="","",IF(T99=Q99,"OK","CHECK"))</f>
        <v/>
      </c>
    </row>
    <row r="100">
      <c r="N100" s="8">
        <f>IF(OR(K100="",L100=""),"",(L100-K100)/L100)</f>
        <v/>
      </c>
      <c r="O100" s="9" t="n"/>
      <c r="S100" s="10">
        <f>IF(Q100="","",IF(Q100&lt;=0,"OUT OF STOCK",IF(Q100&lt;=R100,"REORDER","OK")))</f>
        <v/>
      </c>
      <c r="T100" s="10">
        <f>IF(B100="","",SUMIFS('Stock Log'!$D$2:$D$600,'Stock Log'!$B$2:$B$600,B100))</f>
        <v/>
      </c>
      <c r="U100" s="10">
        <f>IF(B100="","",IF(T100=Q100,"OK","CHECK"))</f>
        <v/>
      </c>
    </row>
    <row r="101">
      <c r="N101" s="8">
        <f>IF(OR(K101="",L101=""),"",(L101-K101)/L101)</f>
        <v/>
      </c>
      <c r="O101" s="9" t="n"/>
      <c r="S101" s="10">
        <f>IF(Q101="","",IF(Q101&lt;=0,"OUT OF STOCK",IF(Q101&lt;=R101,"REORDER","OK")))</f>
        <v/>
      </c>
      <c r="T101" s="10">
        <f>IF(B101="","",SUMIFS('Stock Log'!$D$2:$D$600,'Stock Log'!$B$2:$B$600,B101))</f>
        <v/>
      </c>
      <c r="U101" s="10">
        <f>IF(B101="","",IF(T101=Q101,"OK","CHECK"))</f>
        <v/>
      </c>
    </row>
    <row r="102">
      <c r="N102" s="8">
        <f>IF(OR(K102="",L102=""),"",(L102-K102)/L102)</f>
        <v/>
      </c>
      <c r="O102" s="9" t="n"/>
      <c r="S102" s="10">
        <f>IF(Q102="","",IF(Q102&lt;=0,"OUT OF STOCK",IF(Q102&lt;=R102,"REORDER","OK")))</f>
        <v/>
      </c>
      <c r="T102" s="10">
        <f>IF(B102="","",SUMIFS('Stock Log'!$D$2:$D$600,'Stock Log'!$B$2:$B$600,B102))</f>
        <v/>
      </c>
      <c r="U102" s="10">
        <f>IF(B102="","",IF(T102=Q102,"OK","CHECK"))</f>
        <v/>
      </c>
    </row>
    <row r="103">
      <c r="N103" s="8">
        <f>IF(OR(K103="",L103=""),"",(L103-K103)/L103)</f>
        <v/>
      </c>
      <c r="O103" s="9" t="n"/>
      <c r="S103" s="10">
        <f>IF(Q103="","",IF(Q103&lt;=0,"OUT OF STOCK",IF(Q103&lt;=R103,"REORDER","OK")))</f>
        <v/>
      </c>
      <c r="T103" s="10">
        <f>IF(B103="","",SUMIFS('Stock Log'!$D$2:$D$600,'Stock Log'!$B$2:$B$600,B103))</f>
        <v/>
      </c>
      <c r="U103" s="10">
        <f>IF(B103="","",IF(T103=Q103,"OK","CHECK"))</f>
        <v/>
      </c>
    </row>
    <row r="104">
      <c r="N104" s="8">
        <f>IF(OR(K104="",L104=""),"",(L104-K104)/L104)</f>
        <v/>
      </c>
      <c r="O104" s="9" t="n"/>
      <c r="S104" s="10">
        <f>IF(Q104="","",IF(Q104&lt;=0,"OUT OF STOCK",IF(Q104&lt;=R104,"REORDER","OK")))</f>
        <v/>
      </c>
      <c r="T104" s="10">
        <f>IF(B104="","",SUMIFS('Stock Log'!$D$2:$D$600,'Stock Log'!$B$2:$B$600,B104))</f>
        <v/>
      </c>
      <c r="U104" s="10">
        <f>IF(B104="","",IF(T104=Q104,"OK","CHECK"))</f>
        <v/>
      </c>
    </row>
    <row r="105">
      <c r="N105" s="8">
        <f>IF(OR(K105="",L105=""),"",(L105-K105)/L105)</f>
        <v/>
      </c>
      <c r="O105" s="9" t="n"/>
      <c r="S105" s="10">
        <f>IF(Q105="","",IF(Q105&lt;=0,"OUT OF STOCK",IF(Q105&lt;=R105,"REORDER","OK")))</f>
        <v/>
      </c>
      <c r="T105" s="10">
        <f>IF(B105="","",SUMIFS('Stock Log'!$D$2:$D$600,'Stock Log'!$B$2:$B$600,B105))</f>
        <v/>
      </c>
      <c r="U105" s="10">
        <f>IF(B105="","",IF(T105=Q105,"OK","CHECK"))</f>
        <v/>
      </c>
    </row>
    <row r="106">
      <c r="N106" s="8">
        <f>IF(OR(K106="",L106=""),"",(L106-K106)/L106)</f>
        <v/>
      </c>
      <c r="O106" s="9" t="n"/>
      <c r="S106" s="10">
        <f>IF(Q106="","",IF(Q106&lt;=0,"OUT OF STOCK",IF(Q106&lt;=R106,"REORDER","OK")))</f>
        <v/>
      </c>
      <c r="T106" s="10">
        <f>IF(B106="","",SUMIFS('Stock Log'!$D$2:$D$600,'Stock Log'!$B$2:$B$600,B106))</f>
        <v/>
      </c>
      <c r="U106" s="10">
        <f>IF(B106="","",IF(T106=Q106,"OK","CHECK"))</f>
        <v/>
      </c>
    </row>
    <row r="107">
      <c r="N107" s="8">
        <f>IF(OR(K107="",L107=""),"",(L107-K107)/L107)</f>
        <v/>
      </c>
      <c r="O107" s="9" t="n"/>
      <c r="S107" s="10">
        <f>IF(Q107="","",IF(Q107&lt;=0,"OUT OF STOCK",IF(Q107&lt;=R107,"REORDER","OK")))</f>
        <v/>
      </c>
      <c r="T107" s="10">
        <f>IF(B107="","",SUMIFS('Stock Log'!$D$2:$D$600,'Stock Log'!$B$2:$B$600,B107))</f>
        <v/>
      </c>
      <c r="U107" s="10">
        <f>IF(B107="","",IF(T107=Q107,"OK","CHECK"))</f>
        <v/>
      </c>
    </row>
    <row r="108">
      <c r="N108" s="8">
        <f>IF(OR(K108="",L108=""),"",(L108-K108)/L108)</f>
        <v/>
      </c>
      <c r="O108" s="9" t="n"/>
      <c r="S108" s="10">
        <f>IF(Q108="","",IF(Q108&lt;=0,"OUT OF STOCK",IF(Q108&lt;=R108,"REORDER","OK")))</f>
        <v/>
      </c>
      <c r="T108" s="10">
        <f>IF(B108="","",SUMIFS('Stock Log'!$D$2:$D$600,'Stock Log'!$B$2:$B$600,B108))</f>
        <v/>
      </c>
      <c r="U108" s="10">
        <f>IF(B108="","",IF(T108=Q108,"OK","CHECK"))</f>
        <v/>
      </c>
    </row>
    <row r="109">
      <c r="N109" s="8">
        <f>IF(OR(K109="",L109=""),"",(L109-K109)/L109)</f>
        <v/>
      </c>
      <c r="O109" s="9" t="n"/>
      <c r="S109" s="10">
        <f>IF(Q109="","",IF(Q109&lt;=0,"OUT OF STOCK",IF(Q109&lt;=R109,"REORDER","OK")))</f>
        <v/>
      </c>
      <c r="T109" s="10">
        <f>IF(B109="","",SUMIFS('Stock Log'!$D$2:$D$600,'Stock Log'!$B$2:$B$600,B109))</f>
        <v/>
      </c>
      <c r="U109" s="10">
        <f>IF(B109="","",IF(T109=Q109,"OK","CHECK"))</f>
        <v/>
      </c>
    </row>
    <row r="110">
      <c r="N110" s="8">
        <f>IF(OR(K110="",L110=""),"",(L110-K110)/L110)</f>
        <v/>
      </c>
      <c r="O110" s="9" t="n"/>
      <c r="S110" s="10">
        <f>IF(Q110="","",IF(Q110&lt;=0,"OUT OF STOCK",IF(Q110&lt;=R110,"REORDER","OK")))</f>
        <v/>
      </c>
      <c r="T110" s="10">
        <f>IF(B110="","",SUMIFS('Stock Log'!$D$2:$D$600,'Stock Log'!$B$2:$B$600,B110))</f>
        <v/>
      </c>
      <c r="U110" s="10">
        <f>IF(B110="","",IF(T110=Q110,"OK","CHECK"))</f>
        <v/>
      </c>
    </row>
    <row r="111">
      <c r="N111" s="8">
        <f>IF(OR(K111="",L111=""),"",(L111-K111)/L111)</f>
        <v/>
      </c>
      <c r="O111" s="9" t="n"/>
      <c r="S111" s="10">
        <f>IF(Q111="","",IF(Q111&lt;=0,"OUT OF STOCK",IF(Q111&lt;=R111,"REORDER","OK")))</f>
        <v/>
      </c>
      <c r="T111" s="10">
        <f>IF(B111="","",SUMIFS('Stock Log'!$D$2:$D$600,'Stock Log'!$B$2:$B$600,B111))</f>
        <v/>
      </c>
      <c r="U111" s="10">
        <f>IF(B111="","",IF(T111=Q111,"OK","CHECK"))</f>
        <v/>
      </c>
    </row>
    <row r="112">
      <c r="N112" s="8">
        <f>IF(OR(K112="",L112=""),"",(L112-K112)/L112)</f>
        <v/>
      </c>
      <c r="O112" s="9" t="n"/>
      <c r="S112" s="10">
        <f>IF(Q112="","",IF(Q112&lt;=0,"OUT OF STOCK",IF(Q112&lt;=R112,"REORDER","OK")))</f>
        <v/>
      </c>
      <c r="T112" s="10">
        <f>IF(B112="","",SUMIFS('Stock Log'!$D$2:$D$600,'Stock Log'!$B$2:$B$600,B112))</f>
        <v/>
      </c>
      <c r="U112" s="10">
        <f>IF(B112="","",IF(T112=Q112,"OK","CHECK"))</f>
        <v/>
      </c>
    </row>
    <row r="113">
      <c r="N113" s="8">
        <f>IF(OR(K113="",L113=""),"",(L113-K113)/L113)</f>
        <v/>
      </c>
      <c r="O113" s="9" t="n"/>
      <c r="S113" s="10">
        <f>IF(Q113="","",IF(Q113&lt;=0,"OUT OF STOCK",IF(Q113&lt;=R113,"REORDER","OK")))</f>
        <v/>
      </c>
      <c r="T113" s="10">
        <f>IF(B113="","",SUMIFS('Stock Log'!$D$2:$D$600,'Stock Log'!$B$2:$B$600,B113))</f>
        <v/>
      </c>
      <c r="U113" s="10">
        <f>IF(B113="","",IF(T113=Q113,"OK","CHECK"))</f>
        <v/>
      </c>
    </row>
    <row r="114">
      <c r="N114" s="8">
        <f>IF(OR(K114="",L114=""),"",(L114-K114)/L114)</f>
        <v/>
      </c>
      <c r="O114" s="9" t="n"/>
      <c r="S114" s="10">
        <f>IF(Q114="","",IF(Q114&lt;=0,"OUT OF STOCK",IF(Q114&lt;=R114,"REORDER","OK")))</f>
        <v/>
      </c>
      <c r="T114" s="10">
        <f>IF(B114="","",SUMIFS('Stock Log'!$D$2:$D$600,'Stock Log'!$B$2:$B$600,B114))</f>
        <v/>
      </c>
      <c r="U114" s="10">
        <f>IF(B114="","",IF(T114=Q114,"OK","CHECK"))</f>
        <v/>
      </c>
    </row>
    <row r="115">
      <c r="N115" s="8">
        <f>IF(OR(K115="",L115=""),"",(L115-K115)/L115)</f>
        <v/>
      </c>
      <c r="O115" s="9" t="n"/>
      <c r="S115" s="10">
        <f>IF(Q115="","",IF(Q115&lt;=0,"OUT OF STOCK",IF(Q115&lt;=R115,"REORDER","OK")))</f>
        <v/>
      </c>
      <c r="T115" s="10">
        <f>IF(B115="","",SUMIFS('Stock Log'!$D$2:$D$600,'Stock Log'!$B$2:$B$600,B115))</f>
        <v/>
      </c>
      <c r="U115" s="10">
        <f>IF(B115="","",IF(T115=Q115,"OK","CHECK"))</f>
        <v/>
      </c>
    </row>
    <row r="116">
      <c r="N116" s="8">
        <f>IF(OR(K116="",L116=""),"",(L116-K116)/L116)</f>
        <v/>
      </c>
      <c r="O116" s="9" t="n"/>
      <c r="S116" s="10">
        <f>IF(Q116="","",IF(Q116&lt;=0,"OUT OF STOCK",IF(Q116&lt;=R116,"REORDER","OK")))</f>
        <v/>
      </c>
      <c r="T116" s="10">
        <f>IF(B116="","",SUMIFS('Stock Log'!$D$2:$D$600,'Stock Log'!$B$2:$B$600,B116))</f>
        <v/>
      </c>
      <c r="U116" s="10">
        <f>IF(B116="","",IF(T116=Q116,"OK","CHECK"))</f>
        <v/>
      </c>
    </row>
    <row r="117">
      <c r="N117" s="8">
        <f>IF(OR(K117="",L117=""),"",(L117-K117)/L117)</f>
        <v/>
      </c>
      <c r="O117" s="9" t="n"/>
      <c r="S117" s="10">
        <f>IF(Q117="","",IF(Q117&lt;=0,"OUT OF STOCK",IF(Q117&lt;=R117,"REORDER","OK")))</f>
        <v/>
      </c>
      <c r="T117" s="10">
        <f>IF(B117="","",SUMIFS('Stock Log'!$D$2:$D$600,'Stock Log'!$B$2:$B$600,B117))</f>
        <v/>
      </c>
      <c r="U117" s="10">
        <f>IF(B117="","",IF(T117=Q117,"OK","CHECK"))</f>
        <v/>
      </c>
    </row>
    <row r="118">
      <c r="N118" s="8">
        <f>IF(OR(K118="",L118=""),"",(L118-K118)/L118)</f>
        <v/>
      </c>
      <c r="O118" s="9" t="n"/>
      <c r="S118" s="10">
        <f>IF(Q118="","",IF(Q118&lt;=0,"OUT OF STOCK",IF(Q118&lt;=R118,"REORDER","OK")))</f>
        <v/>
      </c>
      <c r="T118" s="10">
        <f>IF(B118="","",SUMIFS('Stock Log'!$D$2:$D$600,'Stock Log'!$B$2:$B$600,B118))</f>
        <v/>
      </c>
      <c r="U118" s="10">
        <f>IF(B118="","",IF(T118=Q118,"OK","CHECK"))</f>
        <v/>
      </c>
    </row>
    <row r="119">
      <c r="N119" s="8">
        <f>IF(OR(K119="",L119=""),"",(L119-K119)/L119)</f>
        <v/>
      </c>
      <c r="O119" s="9" t="n"/>
      <c r="S119" s="10">
        <f>IF(Q119="","",IF(Q119&lt;=0,"OUT OF STOCK",IF(Q119&lt;=R119,"REORDER","OK")))</f>
        <v/>
      </c>
      <c r="T119" s="10">
        <f>IF(B119="","",SUMIFS('Stock Log'!$D$2:$D$600,'Stock Log'!$B$2:$B$600,B119))</f>
        <v/>
      </c>
      <c r="U119" s="10">
        <f>IF(B119="","",IF(T119=Q119,"OK","CHECK"))</f>
        <v/>
      </c>
    </row>
    <row r="120">
      <c r="N120" s="8">
        <f>IF(OR(K120="",L120=""),"",(L120-K120)/L120)</f>
        <v/>
      </c>
      <c r="O120" s="9" t="n"/>
      <c r="S120" s="10">
        <f>IF(Q120="","",IF(Q120&lt;=0,"OUT OF STOCK",IF(Q120&lt;=R120,"REORDER","OK")))</f>
        <v/>
      </c>
      <c r="T120" s="10">
        <f>IF(B120="","",SUMIFS('Stock Log'!$D$2:$D$600,'Stock Log'!$B$2:$B$600,B120))</f>
        <v/>
      </c>
      <c r="U120" s="10">
        <f>IF(B120="","",IF(T120=Q120,"OK","CHECK"))</f>
        <v/>
      </c>
    </row>
    <row r="121">
      <c r="N121" s="8">
        <f>IF(OR(K121="",L121=""),"",(L121-K121)/L121)</f>
        <v/>
      </c>
      <c r="O121" s="9" t="n"/>
      <c r="S121" s="10">
        <f>IF(Q121="","",IF(Q121&lt;=0,"OUT OF STOCK",IF(Q121&lt;=R121,"REORDER","OK")))</f>
        <v/>
      </c>
      <c r="T121" s="10">
        <f>IF(B121="","",SUMIFS('Stock Log'!$D$2:$D$600,'Stock Log'!$B$2:$B$600,B121))</f>
        <v/>
      </c>
      <c r="U121" s="10">
        <f>IF(B121="","",IF(T121=Q121,"OK","CHECK"))</f>
        <v/>
      </c>
    </row>
    <row r="122">
      <c r="N122" s="8">
        <f>IF(OR(K122="",L122=""),"",(L122-K122)/L122)</f>
        <v/>
      </c>
      <c r="O122" s="9" t="n"/>
      <c r="S122" s="10">
        <f>IF(Q122="","",IF(Q122&lt;=0,"OUT OF STOCK",IF(Q122&lt;=R122,"REORDER","OK")))</f>
        <v/>
      </c>
      <c r="T122" s="10">
        <f>IF(B122="","",SUMIFS('Stock Log'!$D$2:$D$600,'Stock Log'!$B$2:$B$600,B122))</f>
        <v/>
      </c>
      <c r="U122" s="10">
        <f>IF(B122="","",IF(T122=Q122,"OK","CHECK"))</f>
        <v/>
      </c>
    </row>
    <row r="123">
      <c r="N123" s="8">
        <f>IF(OR(K123="",L123=""),"",(L123-K123)/L123)</f>
        <v/>
      </c>
      <c r="O123" s="9" t="n"/>
      <c r="S123" s="10">
        <f>IF(Q123="","",IF(Q123&lt;=0,"OUT OF STOCK",IF(Q123&lt;=R123,"REORDER","OK")))</f>
        <v/>
      </c>
      <c r="T123" s="10">
        <f>IF(B123="","",SUMIFS('Stock Log'!$D$2:$D$600,'Stock Log'!$B$2:$B$600,B123))</f>
        <v/>
      </c>
      <c r="U123" s="10">
        <f>IF(B123="","",IF(T123=Q123,"OK","CHECK"))</f>
        <v/>
      </c>
    </row>
    <row r="124">
      <c r="N124" s="8">
        <f>IF(OR(K124="",L124=""),"",(L124-K124)/L124)</f>
        <v/>
      </c>
      <c r="O124" s="9" t="n"/>
      <c r="S124" s="10">
        <f>IF(Q124="","",IF(Q124&lt;=0,"OUT OF STOCK",IF(Q124&lt;=R124,"REORDER","OK")))</f>
        <v/>
      </c>
      <c r="T124" s="10">
        <f>IF(B124="","",SUMIFS('Stock Log'!$D$2:$D$600,'Stock Log'!$B$2:$B$600,B124))</f>
        <v/>
      </c>
      <c r="U124" s="10">
        <f>IF(B124="","",IF(T124=Q124,"OK","CHECK"))</f>
        <v/>
      </c>
    </row>
    <row r="125">
      <c r="N125" s="8">
        <f>IF(OR(K125="",L125=""),"",(L125-K125)/L125)</f>
        <v/>
      </c>
      <c r="O125" s="9" t="n"/>
      <c r="S125" s="10">
        <f>IF(Q125="","",IF(Q125&lt;=0,"OUT OF STOCK",IF(Q125&lt;=R125,"REORDER","OK")))</f>
        <v/>
      </c>
      <c r="T125" s="10">
        <f>IF(B125="","",SUMIFS('Stock Log'!$D$2:$D$600,'Stock Log'!$B$2:$B$600,B125))</f>
        <v/>
      </c>
      <c r="U125" s="10">
        <f>IF(B125="","",IF(T125=Q125,"OK","CHECK"))</f>
        <v/>
      </c>
    </row>
    <row r="126">
      <c r="N126" s="8">
        <f>IF(OR(K126="",L126=""),"",(L126-K126)/L126)</f>
        <v/>
      </c>
      <c r="O126" s="9" t="n"/>
      <c r="S126" s="10">
        <f>IF(Q126="","",IF(Q126&lt;=0,"OUT OF STOCK",IF(Q126&lt;=R126,"REORDER","OK")))</f>
        <v/>
      </c>
      <c r="T126" s="10">
        <f>IF(B126="","",SUMIFS('Stock Log'!$D$2:$D$600,'Stock Log'!$B$2:$B$600,B126))</f>
        <v/>
      </c>
      <c r="U126" s="10">
        <f>IF(B126="","",IF(T126=Q126,"OK","CHECK"))</f>
        <v/>
      </c>
    </row>
    <row r="127">
      <c r="N127" s="8">
        <f>IF(OR(K127="",L127=""),"",(L127-K127)/L127)</f>
        <v/>
      </c>
      <c r="O127" s="9" t="n"/>
      <c r="S127" s="10">
        <f>IF(Q127="","",IF(Q127&lt;=0,"OUT OF STOCK",IF(Q127&lt;=R127,"REORDER","OK")))</f>
        <v/>
      </c>
      <c r="T127" s="10">
        <f>IF(B127="","",SUMIFS('Stock Log'!$D$2:$D$600,'Stock Log'!$B$2:$B$600,B127))</f>
        <v/>
      </c>
      <c r="U127" s="10">
        <f>IF(B127="","",IF(T127=Q127,"OK","CHECK"))</f>
        <v/>
      </c>
    </row>
    <row r="128">
      <c r="N128" s="8">
        <f>IF(OR(K128="",L128=""),"",(L128-K128)/L128)</f>
        <v/>
      </c>
      <c r="O128" s="9" t="n"/>
      <c r="S128" s="10">
        <f>IF(Q128="","",IF(Q128&lt;=0,"OUT OF STOCK",IF(Q128&lt;=R128,"REORDER","OK")))</f>
        <v/>
      </c>
      <c r="T128" s="10">
        <f>IF(B128="","",SUMIFS('Stock Log'!$D$2:$D$600,'Stock Log'!$B$2:$B$600,B128))</f>
        <v/>
      </c>
      <c r="U128" s="10">
        <f>IF(B128="","",IF(T128=Q128,"OK","CHECK"))</f>
        <v/>
      </c>
    </row>
    <row r="129">
      <c r="N129" s="8">
        <f>IF(OR(K129="",L129=""),"",(L129-K129)/L129)</f>
        <v/>
      </c>
      <c r="O129" s="9" t="n"/>
      <c r="S129" s="10">
        <f>IF(Q129="","",IF(Q129&lt;=0,"OUT OF STOCK",IF(Q129&lt;=R129,"REORDER","OK")))</f>
        <v/>
      </c>
      <c r="T129" s="10">
        <f>IF(B129="","",SUMIFS('Stock Log'!$D$2:$D$600,'Stock Log'!$B$2:$B$600,B129))</f>
        <v/>
      </c>
      <c r="U129" s="10">
        <f>IF(B129="","",IF(T129=Q129,"OK","CHECK"))</f>
        <v/>
      </c>
    </row>
    <row r="130">
      <c r="N130" s="8">
        <f>IF(OR(K130="",L130=""),"",(L130-K130)/L130)</f>
        <v/>
      </c>
      <c r="O130" s="9" t="n"/>
      <c r="S130" s="10">
        <f>IF(Q130="","",IF(Q130&lt;=0,"OUT OF STOCK",IF(Q130&lt;=R130,"REORDER","OK")))</f>
        <v/>
      </c>
      <c r="T130" s="10">
        <f>IF(B130="","",SUMIFS('Stock Log'!$D$2:$D$600,'Stock Log'!$B$2:$B$600,B130))</f>
        <v/>
      </c>
      <c r="U130" s="10">
        <f>IF(B130="","",IF(T130=Q130,"OK","CHECK"))</f>
        <v/>
      </c>
    </row>
    <row r="131">
      <c r="N131" s="8">
        <f>IF(OR(K131="",L131=""),"",(L131-K131)/L131)</f>
        <v/>
      </c>
      <c r="O131" s="9" t="n"/>
      <c r="S131" s="10">
        <f>IF(Q131="","",IF(Q131&lt;=0,"OUT OF STOCK",IF(Q131&lt;=R131,"REORDER","OK")))</f>
        <v/>
      </c>
      <c r="T131" s="10">
        <f>IF(B131="","",SUMIFS('Stock Log'!$D$2:$D$600,'Stock Log'!$B$2:$B$600,B131))</f>
        <v/>
      </c>
      <c r="U131" s="10">
        <f>IF(B131="","",IF(T131=Q131,"OK","CHECK"))</f>
        <v/>
      </c>
    </row>
    <row r="132">
      <c r="N132" s="8">
        <f>IF(OR(K132="",L132=""),"",(L132-K132)/L132)</f>
        <v/>
      </c>
      <c r="O132" s="9" t="n"/>
      <c r="S132" s="10">
        <f>IF(Q132="","",IF(Q132&lt;=0,"OUT OF STOCK",IF(Q132&lt;=R132,"REORDER","OK")))</f>
        <v/>
      </c>
      <c r="T132" s="10">
        <f>IF(B132="","",SUMIFS('Stock Log'!$D$2:$D$600,'Stock Log'!$B$2:$B$600,B132))</f>
        <v/>
      </c>
      <c r="U132" s="10">
        <f>IF(B132="","",IF(T132=Q132,"OK","CHECK"))</f>
        <v/>
      </c>
    </row>
    <row r="133">
      <c r="N133" s="8">
        <f>IF(OR(K133="",L133=""),"",(L133-K133)/L133)</f>
        <v/>
      </c>
      <c r="O133" s="9" t="n"/>
      <c r="S133" s="10">
        <f>IF(Q133="","",IF(Q133&lt;=0,"OUT OF STOCK",IF(Q133&lt;=R133,"REORDER","OK")))</f>
        <v/>
      </c>
      <c r="T133" s="10">
        <f>IF(B133="","",SUMIFS('Stock Log'!$D$2:$D$600,'Stock Log'!$B$2:$B$600,B133))</f>
        <v/>
      </c>
      <c r="U133" s="10">
        <f>IF(B133="","",IF(T133=Q133,"OK","CHECK"))</f>
        <v/>
      </c>
    </row>
    <row r="134">
      <c r="N134" s="8">
        <f>IF(OR(K134="",L134=""),"",(L134-K134)/L134)</f>
        <v/>
      </c>
      <c r="O134" s="9" t="n"/>
      <c r="S134" s="10">
        <f>IF(Q134="","",IF(Q134&lt;=0,"OUT OF STOCK",IF(Q134&lt;=R134,"REORDER","OK")))</f>
        <v/>
      </c>
      <c r="T134" s="10">
        <f>IF(B134="","",SUMIFS('Stock Log'!$D$2:$D$600,'Stock Log'!$B$2:$B$600,B134))</f>
        <v/>
      </c>
      <c r="U134" s="10">
        <f>IF(B134="","",IF(T134=Q134,"OK","CHECK"))</f>
        <v/>
      </c>
    </row>
    <row r="135">
      <c r="N135" s="8">
        <f>IF(OR(K135="",L135=""),"",(L135-K135)/L135)</f>
        <v/>
      </c>
      <c r="O135" s="9" t="n"/>
      <c r="S135" s="10">
        <f>IF(Q135="","",IF(Q135&lt;=0,"OUT OF STOCK",IF(Q135&lt;=R135,"REORDER","OK")))</f>
        <v/>
      </c>
      <c r="T135" s="10">
        <f>IF(B135="","",SUMIFS('Stock Log'!$D$2:$D$600,'Stock Log'!$B$2:$B$600,B135))</f>
        <v/>
      </c>
      <c r="U135" s="10">
        <f>IF(B135="","",IF(T135=Q135,"OK","CHECK"))</f>
        <v/>
      </c>
    </row>
    <row r="136">
      <c r="N136" s="8">
        <f>IF(OR(K136="",L136=""),"",(L136-K136)/L136)</f>
        <v/>
      </c>
      <c r="O136" s="9" t="n"/>
      <c r="S136" s="10">
        <f>IF(Q136="","",IF(Q136&lt;=0,"OUT OF STOCK",IF(Q136&lt;=R136,"REORDER","OK")))</f>
        <v/>
      </c>
      <c r="T136" s="10">
        <f>IF(B136="","",SUMIFS('Stock Log'!$D$2:$D$600,'Stock Log'!$B$2:$B$600,B136))</f>
        <v/>
      </c>
      <c r="U136" s="10">
        <f>IF(B136="","",IF(T136=Q136,"OK","CHECK"))</f>
        <v/>
      </c>
    </row>
    <row r="137">
      <c r="N137" s="8">
        <f>IF(OR(K137="",L137=""),"",(L137-K137)/L137)</f>
        <v/>
      </c>
      <c r="O137" s="9" t="n"/>
      <c r="S137" s="10">
        <f>IF(Q137="","",IF(Q137&lt;=0,"OUT OF STOCK",IF(Q137&lt;=R137,"REORDER","OK")))</f>
        <v/>
      </c>
      <c r="T137" s="10">
        <f>IF(B137="","",SUMIFS('Stock Log'!$D$2:$D$600,'Stock Log'!$B$2:$B$600,B137))</f>
        <v/>
      </c>
      <c r="U137" s="10">
        <f>IF(B137="","",IF(T137=Q137,"OK","CHECK"))</f>
        <v/>
      </c>
    </row>
    <row r="138">
      <c r="N138" s="8">
        <f>IF(OR(K138="",L138=""),"",(L138-K138)/L138)</f>
        <v/>
      </c>
      <c r="O138" s="9" t="n"/>
      <c r="S138" s="10">
        <f>IF(Q138="","",IF(Q138&lt;=0,"OUT OF STOCK",IF(Q138&lt;=R138,"REORDER","OK")))</f>
        <v/>
      </c>
      <c r="T138" s="10">
        <f>IF(B138="","",SUMIFS('Stock Log'!$D$2:$D$600,'Stock Log'!$B$2:$B$600,B138))</f>
        <v/>
      </c>
      <c r="U138" s="10">
        <f>IF(B138="","",IF(T138=Q138,"OK","CHECK"))</f>
        <v/>
      </c>
    </row>
    <row r="139">
      <c r="N139" s="8">
        <f>IF(OR(K139="",L139=""),"",(L139-K139)/L139)</f>
        <v/>
      </c>
      <c r="O139" s="9" t="n"/>
      <c r="S139" s="10">
        <f>IF(Q139="","",IF(Q139&lt;=0,"OUT OF STOCK",IF(Q139&lt;=R139,"REORDER","OK")))</f>
        <v/>
      </c>
      <c r="T139" s="10">
        <f>IF(B139="","",SUMIFS('Stock Log'!$D$2:$D$600,'Stock Log'!$B$2:$B$600,B139))</f>
        <v/>
      </c>
      <c r="U139" s="10">
        <f>IF(B139="","",IF(T139=Q139,"OK","CHECK"))</f>
        <v/>
      </c>
    </row>
    <row r="140">
      <c r="N140" s="8">
        <f>IF(OR(K140="",L140=""),"",(L140-K140)/L140)</f>
        <v/>
      </c>
      <c r="O140" s="9" t="n"/>
      <c r="S140" s="10">
        <f>IF(Q140="","",IF(Q140&lt;=0,"OUT OF STOCK",IF(Q140&lt;=R140,"REORDER","OK")))</f>
        <v/>
      </c>
      <c r="T140" s="10">
        <f>IF(B140="","",SUMIFS('Stock Log'!$D$2:$D$600,'Stock Log'!$B$2:$B$600,B140))</f>
        <v/>
      </c>
      <c r="U140" s="10">
        <f>IF(B140="","",IF(T140=Q140,"OK","CHECK"))</f>
        <v/>
      </c>
    </row>
    <row r="141">
      <c r="N141" s="8">
        <f>IF(OR(K141="",L141=""),"",(L141-K141)/L141)</f>
        <v/>
      </c>
      <c r="O141" s="9" t="n"/>
      <c r="S141" s="10">
        <f>IF(Q141="","",IF(Q141&lt;=0,"OUT OF STOCK",IF(Q141&lt;=R141,"REORDER","OK")))</f>
        <v/>
      </c>
      <c r="T141" s="10">
        <f>IF(B141="","",SUMIFS('Stock Log'!$D$2:$D$600,'Stock Log'!$B$2:$B$600,B141))</f>
        <v/>
      </c>
      <c r="U141" s="10">
        <f>IF(B141="","",IF(T141=Q141,"OK","CHECK"))</f>
        <v/>
      </c>
    </row>
    <row r="142">
      <c r="N142" s="8">
        <f>IF(OR(K142="",L142=""),"",(L142-K142)/L142)</f>
        <v/>
      </c>
      <c r="O142" s="9" t="n"/>
      <c r="S142" s="10">
        <f>IF(Q142="","",IF(Q142&lt;=0,"OUT OF STOCK",IF(Q142&lt;=R142,"REORDER","OK")))</f>
        <v/>
      </c>
      <c r="T142" s="10">
        <f>IF(B142="","",SUMIFS('Stock Log'!$D$2:$D$600,'Stock Log'!$B$2:$B$600,B142))</f>
        <v/>
      </c>
      <c r="U142" s="10">
        <f>IF(B142="","",IF(T142=Q142,"OK","CHECK"))</f>
        <v/>
      </c>
    </row>
    <row r="143">
      <c r="N143" s="8">
        <f>IF(OR(K143="",L143=""),"",(L143-K143)/L143)</f>
        <v/>
      </c>
      <c r="O143" s="9" t="n"/>
      <c r="S143" s="10">
        <f>IF(Q143="","",IF(Q143&lt;=0,"OUT OF STOCK",IF(Q143&lt;=R143,"REORDER","OK")))</f>
        <v/>
      </c>
      <c r="T143" s="10">
        <f>IF(B143="","",SUMIFS('Stock Log'!$D$2:$D$600,'Stock Log'!$B$2:$B$600,B143))</f>
        <v/>
      </c>
      <c r="U143" s="10">
        <f>IF(B143="","",IF(T143=Q143,"OK","CHECK"))</f>
        <v/>
      </c>
    </row>
    <row r="144">
      <c r="N144" s="8">
        <f>IF(OR(K144="",L144=""),"",(L144-K144)/L144)</f>
        <v/>
      </c>
      <c r="O144" s="9" t="n"/>
      <c r="S144" s="10">
        <f>IF(Q144="","",IF(Q144&lt;=0,"OUT OF STOCK",IF(Q144&lt;=R144,"REORDER","OK")))</f>
        <v/>
      </c>
      <c r="T144" s="10">
        <f>IF(B144="","",SUMIFS('Stock Log'!$D$2:$D$600,'Stock Log'!$B$2:$B$600,B144))</f>
        <v/>
      </c>
      <c r="U144" s="10">
        <f>IF(B144="","",IF(T144=Q144,"OK","CHECK"))</f>
        <v/>
      </c>
    </row>
    <row r="145">
      <c r="N145" s="8">
        <f>IF(OR(K145="",L145=""),"",(L145-K145)/L145)</f>
        <v/>
      </c>
      <c r="O145" s="9" t="n"/>
      <c r="S145" s="10">
        <f>IF(Q145="","",IF(Q145&lt;=0,"OUT OF STOCK",IF(Q145&lt;=R145,"REORDER","OK")))</f>
        <v/>
      </c>
      <c r="T145" s="10">
        <f>IF(B145="","",SUMIFS('Stock Log'!$D$2:$D$600,'Stock Log'!$B$2:$B$600,B145))</f>
        <v/>
      </c>
      <c r="U145" s="10">
        <f>IF(B145="","",IF(T145=Q145,"OK","CHECK"))</f>
        <v/>
      </c>
    </row>
    <row r="146">
      <c r="N146" s="8">
        <f>IF(OR(K146="",L146=""),"",(L146-K146)/L146)</f>
        <v/>
      </c>
      <c r="O146" s="9" t="n"/>
      <c r="S146" s="10">
        <f>IF(Q146="","",IF(Q146&lt;=0,"OUT OF STOCK",IF(Q146&lt;=R146,"REORDER","OK")))</f>
        <v/>
      </c>
      <c r="T146" s="10">
        <f>IF(B146="","",SUMIFS('Stock Log'!$D$2:$D$600,'Stock Log'!$B$2:$B$600,B146))</f>
        <v/>
      </c>
      <c r="U146" s="10">
        <f>IF(B146="","",IF(T146=Q146,"OK","CHECK"))</f>
        <v/>
      </c>
    </row>
    <row r="147">
      <c r="N147" s="8">
        <f>IF(OR(K147="",L147=""),"",(L147-K147)/L147)</f>
        <v/>
      </c>
      <c r="O147" s="9" t="n"/>
      <c r="S147" s="10">
        <f>IF(Q147="","",IF(Q147&lt;=0,"OUT OF STOCK",IF(Q147&lt;=R147,"REORDER","OK")))</f>
        <v/>
      </c>
      <c r="T147" s="10">
        <f>IF(B147="","",SUMIFS('Stock Log'!$D$2:$D$600,'Stock Log'!$B$2:$B$600,B147))</f>
        <v/>
      </c>
      <c r="U147" s="10">
        <f>IF(B147="","",IF(T147=Q147,"OK","CHECK"))</f>
        <v/>
      </c>
    </row>
    <row r="148">
      <c r="N148" s="8">
        <f>IF(OR(K148="",L148=""),"",(L148-K148)/L148)</f>
        <v/>
      </c>
      <c r="O148" s="9" t="n"/>
      <c r="S148" s="10">
        <f>IF(Q148="","",IF(Q148&lt;=0,"OUT OF STOCK",IF(Q148&lt;=R148,"REORDER","OK")))</f>
        <v/>
      </c>
      <c r="T148" s="10">
        <f>IF(B148="","",SUMIFS('Stock Log'!$D$2:$D$600,'Stock Log'!$B$2:$B$600,B148))</f>
        <v/>
      </c>
      <c r="U148" s="10">
        <f>IF(B148="","",IF(T148=Q148,"OK","CHECK"))</f>
        <v/>
      </c>
    </row>
    <row r="149">
      <c r="N149" s="8">
        <f>IF(OR(K149="",L149=""),"",(L149-K149)/L149)</f>
        <v/>
      </c>
      <c r="O149" s="9" t="n"/>
      <c r="S149" s="10">
        <f>IF(Q149="","",IF(Q149&lt;=0,"OUT OF STOCK",IF(Q149&lt;=R149,"REORDER","OK")))</f>
        <v/>
      </c>
      <c r="T149" s="10">
        <f>IF(B149="","",SUMIFS('Stock Log'!$D$2:$D$600,'Stock Log'!$B$2:$B$600,B149))</f>
        <v/>
      </c>
      <c r="U149" s="10">
        <f>IF(B149="","",IF(T149=Q149,"OK","CHECK"))</f>
        <v/>
      </c>
    </row>
    <row r="150">
      <c r="N150" s="8">
        <f>IF(OR(K150="",L150=""),"",(L150-K150)/L150)</f>
        <v/>
      </c>
      <c r="O150" s="9" t="n"/>
      <c r="S150" s="10">
        <f>IF(Q150="","",IF(Q150&lt;=0,"OUT OF STOCK",IF(Q150&lt;=R150,"REORDER","OK")))</f>
        <v/>
      </c>
      <c r="T150" s="10">
        <f>IF(B150="","",SUMIFS('Stock Log'!$D$2:$D$600,'Stock Log'!$B$2:$B$600,B150))</f>
        <v/>
      </c>
      <c r="U150" s="10">
        <f>IF(B150="","",IF(T150=Q150,"OK","CHECK"))</f>
        <v/>
      </c>
    </row>
    <row r="151">
      <c r="N151" s="8">
        <f>IF(OR(K151="",L151=""),"",(L151-K151)/L151)</f>
        <v/>
      </c>
      <c r="O151" s="9" t="n"/>
      <c r="S151" s="10">
        <f>IF(Q151="","",IF(Q151&lt;=0,"OUT OF STOCK",IF(Q151&lt;=R151,"REORDER","OK")))</f>
        <v/>
      </c>
      <c r="T151" s="10">
        <f>IF(B151="","",SUMIFS('Stock Log'!$D$2:$D$600,'Stock Log'!$B$2:$B$600,B151))</f>
        <v/>
      </c>
      <c r="U151" s="10">
        <f>IF(B151="","",IF(T151=Q151,"OK","CHECK"))</f>
        <v/>
      </c>
    </row>
    <row r="152">
      <c r="N152" s="8">
        <f>IF(OR(K152="",L152=""),"",(L152-K152)/L152)</f>
        <v/>
      </c>
      <c r="O152" s="9" t="n"/>
      <c r="S152" s="10">
        <f>IF(Q152="","",IF(Q152&lt;=0,"OUT OF STOCK",IF(Q152&lt;=R152,"REORDER","OK")))</f>
        <v/>
      </c>
      <c r="T152" s="10">
        <f>IF(B152="","",SUMIFS('Stock Log'!$D$2:$D$600,'Stock Log'!$B$2:$B$600,B152))</f>
        <v/>
      </c>
      <c r="U152" s="10">
        <f>IF(B152="","",IF(T152=Q152,"OK","CHECK"))</f>
        <v/>
      </c>
    </row>
    <row r="153">
      <c r="N153" s="8">
        <f>IF(OR(K153="",L153=""),"",(L153-K153)/L153)</f>
        <v/>
      </c>
      <c r="O153" s="9" t="n"/>
      <c r="S153" s="10">
        <f>IF(Q153="","",IF(Q153&lt;=0,"OUT OF STOCK",IF(Q153&lt;=R153,"REORDER","OK")))</f>
        <v/>
      </c>
      <c r="T153" s="10">
        <f>IF(B153="","",SUMIFS('Stock Log'!$D$2:$D$600,'Stock Log'!$B$2:$B$600,B153))</f>
        <v/>
      </c>
      <c r="U153" s="10">
        <f>IF(B153="","",IF(T153=Q153,"OK","CHECK"))</f>
        <v/>
      </c>
    </row>
    <row r="154">
      <c r="N154" s="8">
        <f>IF(OR(K154="",L154=""),"",(L154-K154)/L154)</f>
        <v/>
      </c>
      <c r="O154" s="9" t="n"/>
      <c r="S154" s="10">
        <f>IF(Q154="","",IF(Q154&lt;=0,"OUT OF STOCK",IF(Q154&lt;=R154,"REORDER","OK")))</f>
        <v/>
      </c>
      <c r="T154" s="10">
        <f>IF(B154="","",SUMIFS('Stock Log'!$D$2:$D$600,'Stock Log'!$B$2:$B$600,B154))</f>
        <v/>
      </c>
      <c r="U154" s="10">
        <f>IF(B154="","",IF(T154=Q154,"OK","CHECK"))</f>
        <v/>
      </c>
    </row>
    <row r="155">
      <c r="N155" s="8">
        <f>IF(OR(K155="",L155=""),"",(L155-K155)/L155)</f>
        <v/>
      </c>
      <c r="O155" s="9" t="n"/>
      <c r="S155" s="10">
        <f>IF(Q155="","",IF(Q155&lt;=0,"OUT OF STOCK",IF(Q155&lt;=R155,"REORDER","OK")))</f>
        <v/>
      </c>
      <c r="T155" s="10">
        <f>IF(B155="","",SUMIFS('Stock Log'!$D$2:$D$600,'Stock Log'!$B$2:$B$600,B155))</f>
        <v/>
      </c>
      <c r="U155" s="10">
        <f>IF(B155="","",IF(T155=Q155,"OK","CHECK"))</f>
        <v/>
      </c>
    </row>
    <row r="156">
      <c r="N156" s="8">
        <f>IF(OR(K156="",L156=""),"",(L156-K156)/L156)</f>
        <v/>
      </c>
      <c r="O156" s="9" t="n"/>
      <c r="S156" s="10">
        <f>IF(Q156="","",IF(Q156&lt;=0,"OUT OF STOCK",IF(Q156&lt;=R156,"REORDER","OK")))</f>
        <v/>
      </c>
      <c r="T156" s="10">
        <f>IF(B156="","",SUMIFS('Stock Log'!$D$2:$D$600,'Stock Log'!$B$2:$B$600,B156))</f>
        <v/>
      </c>
      <c r="U156" s="10">
        <f>IF(B156="","",IF(T156=Q156,"OK","CHECK"))</f>
        <v/>
      </c>
    </row>
    <row r="157">
      <c r="N157" s="8">
        <f>IF(OR(K157="",L157=""),"",(L157-K157)/L157)</f>
        <v/>
      </c>
      <c r="O157" s="9" t="n"/>
      <c r="S157" s="10">
        <f>IF(Q157="","",IF(Q157&lt;=0,"OUT OF STOCK",IF(Q157&lt;=R157,"REORDER","OK")))</f>
        <v/>
      </c>
      <c r="T157" s="10">
        <f>IF(B157="","",SUMIFS('Stock Log'!$D$2:$D$600,'Stock Log'!$B$2:$B$600,B157))</f>
        <v/>
      </c>
      <c r="U157" s="10">
        <f>IF(B157="","",IF(T157=Q157,"OK","CHECK"))</f>
        <v/>
      </c>
    </row>
    <row r="158">
      <c r="N158" s="8">
        <f>IF(OR(K158="",L158=""),"",(L158-K158)/L158)</f>
        <v/>
      </c>
      <c r="O158" s="9" t="n"/>
      <c r="S158" s="10">
        <f>IF(Q158="","",IF(Q158&lt;=0,"OUT OF STOCK",IF(Q158&lt;=R158,"REORDER","OK")))</f>
        <v/>
      </c>
      <c r="T158" s="10">
        <f>IF(B158="","",SUMIFS('Stock Log'!$D$2:$D$600,'Stock Log'!$B$2:$B$600,B158))</f>
        <v/>
      </c>
      <c r="U158" s="10">
        <f>IF(B158="","",IF(T158=Q158,"OK","CHECK"))</f>
        <v/>
      </c>
    </row>
    <row r="159">
      <c r="N159" s="8">
        <f>IF(OR(K159="",L159=""),"",(L159-K159)/L159)</f>
        <v/>
      </c>
      <c r="O159" s="9" t="n"/>
      <c r="S159" s="10">
        <f>IF(Q159="","",IF(Q159&lt;=0,"OUT OF STOCK",IF(Q159&lt;=R159,"REORDER","OK")))</f>
        <v/>
      </c>
      <c r="T159" s="10">
        <f>IF(B159="","",SUMIFS('Stock Log'!$D$2:$D$600,'Stock Log'!$B$2:$B$600,B159))</f>
        <v/>
      </c>
      <c r="U159" s="10">
        <f>IF(B159="","",IF(T159=Q159,"OK","CHECK"))</f>
        <v/>
      </c>
    </row>
    <row r="160">
      <c r="N160" s="8">
        <f>IF(OR(K160="",L160=""),"",(L160-K160)/L160)</f>
        <v/>
      </c>
      <c r="O160" s="9" t="n"/>
      <c r="S160" s="10">
        <f>IF(Q160="","",IF(Q160&lt;=0,"OUT OF STOCK",IF(Q160&lt;=R160,"REORDER","OK")))</f>
        <v/>
      </c>
      <c r="T160" s="10">
        <f>IF(B160="","",SUMIFS('Stock Log'!$D$2:$D$600,'Stock Log'!$B$2:$B$600,B160))</f>
        <v/>
      </c>
      <c r="U160" s="10">
        <f>IF(B160="","",IF(T160=Q160,"OK","CHECK"))</f>
        <v/>
      </c>
    </row>
    <row r="161">
      <c r="N161" s="8">
        <f>IF(OR(K161="",L161=""),"",(L161-K161)/L161)</f>
        <v/>
      </c>
      <c r="O161" s="9" t="n"/>
      <c r="S161" s="10">
        <f>IF(Q161="","",IF(Q161&lt;=0,"OUT OF STOCK",IF(Q161&lt;=R161,"REORDER","OK")))</f>
        <v/>
      </c>
      <c r="T161" s="10">
        <f>IF(B161="","",SUMIFS('Stock Log'!$D$2:$D$600,'Stock Log'!$B$2:$B$600,B161))</f>
        <v/>
      </c>
      <c r="U161" s="10">
        <f>IF(B161="","",IF(T161=Q161,"OK","CHECK"))</f>
        <v/>
      </c>
    </row>
    <row r="162">
      <c r="N162" s="8">
        <f>IF(OR(K162="",L162=""),"",(L162-K162)/L162)</f>
        <v/>
      </c>
      <c r="O162" s="9" t="n"/>
      <c r="S162" s="10">
        <f>IF(Q162="","",IF(Q162&lt;=0,"OUT OF STOCK",IF(Q162&lt;=R162,"REORDER","OK")))</f>
        <v/>
      </c>
      <c r="T162" s="10">
        <f>IF(B162="","",SUMIFS('Stock Log'!$D$2:$D$600,'Stock Log'!$B$2:$B$600,B162))</f>
        <v/>
      </c>
      <c r="U162" s="10">
        <f>IF(B162="","",IF(T162=Q162,"OK","CHECK"))</f>
        <v/>
      </c>
    </row>
    <row r="163">
      <c r="N163" s="8">
        <f>IF(OR(K163="",L163=""),"",(L163-K163)/L163)</f>
        <v/>
      </c>
      <c r="O163" s="9" t="n"/>
      <c r="S163" s="10">
        <f>IF(Q163="","",IF(Q163&lt;=0,"OUT OF STOCK",IF(Q163&lt;=R163,"REORDER","OK")))</f>
        <v/>
      </c>
      <c r="T163" s="10">
        <f>IF(B163="","",SUMIFS('Stock Log'!$D$2:$D$600,'Stock Log'!$B$2:$B$600,B163))</f>
        <v/>
      </c>
      <c r="U163" s="10">
        <f>IF(B163="","",IF(T163=Q163,"OK","CHECK"))</f>
        <v/>
      </c>
    </row>
    <row r="164">
      <c r="N164" s="8">
        <f>IF(OR(K164="",L164=""),"",(L164-K164)/L164)</f>
        <v/>
      </c>
      <c r="O164" s="9" t="n"/>
      <c r="S164" s="10">
        <f>IF(Q164="","",IF(Q164&lt;=0,"OUT OF STOCK",IF(Q164&lt;=R164,"REORDER","OK")))</f>
        <v/>
      </c>
      <c r="T164" s="10">
        <f>IF(B164="","",SUMIFS('Stock Log'!$D$2:$D$600,'Stock Log'!$B$2:$B$600,B164))</f>
        <v/>
      </c>
      <c r="U164" s="10">
        <f>IF(B164="","",IF(T164=Q164,"OK","CHECK"))</f>
        <v/>
      </c>
    </row>
    <row r="165">
      <c r="N165" s="8">
        <f>IF(OR(K165="",L165=""),"",(L165-K165)/L165)</f>
        <v/>
      </c>
      <c r="O165" s="9" t="n"/>
      <c r="S165" s="10">
        <f>IF(Q165="","",IF(Q165&lt;=0,"OUT OF STOCK",IF(Q165&lt;=R165,"REORDER","OK")))</f>
        <v/>
      </c>
      <c r="T165" s="10">
        <f>IF(B165="","",SUMIFS('Stock Log'!$D$2:$D$600,'Stock Log'!$B$2:$B$600,B165))</f>
        <v/>
      </c>
      <c r="U165" s="10">
        <f>IF(B165="","",IF(T165=Q165,"OK","CHECK"))</f>
        <v/>
      </c>
    </row>
    <row r="166">
      <c r="N166" s="8">
        <f>IF(OR(K166="",L166=""),"",(L166-K166)/L166)</f>
        <v/>
      </c>
      <c r="O166" s="9" t="n"/>
      <c r="S166" s="10">
        <f>IF(Q166="","",IF(Q166&lt;=0,"OUT OF STOCK",IF(Q166&lt;=R166,"REORDER","OK")))</f>
        <v/>
      </c>
      <c r="T166" s="10">
        <f>IF(B166="","",SUMIFS('Stock Log'!$D$2:$D$600,'Stock Log'!$B$2:$B$600,B166))</f>
        <v/>
      </c>
      <c r="U166" s="10">
        <f>IF(B166="","",IF(T166=Q166,"OK","CHECK"))</f>
        <v/>
      </c>
    </row>
    <row r="167">
      <c r="N167" s="8">
        <f>IF(OR(K167="",L167=""),"",(L167-K167)/L167)</f>
        <v/>
      </c>
      <c r="O167" s="9" t="n"/>
      <c r="S167" s="10">
        <f>IF(Q167="","",IF(Q167&lt;=0,"OUT OF STOCK",IF(Q167&lt;=R167,"REORDER","OK")))</f>
        <v/>
      </c>
      <c r="T167" s="10">
        <f>IF(B167="","",SUMIFS('Stock Log'!$D$2:$D$600,'Stock Log'!$B$2:$B$600,B167))</f>
        <v/>
      </c>
      <c r="U167" s="10">
        <f>IF(B167="","",IF(T167=Q167,"OK","CHECK"))</f>
        <v/>
      </c>
    </row>
    <row r="168">
      <c r="N168" s="8">
        <f>IF(OR(K168="",L168=""),"",(L168-K168)/L168)</f>
        <v/>
      </c>
      <c r="O168" s="9" t="n"/>
      <c r="S168" s="10">
        <f>IF(Q168="","",IF(Q168&lt;=0,"OUT OF STOCK",IF(Q168&lt;=R168,"REORDER","OK")))</f>
        <v/>
      </c>
      <c r="T168" s="10">
        <f>IF(B168="","",SUMIFS('Stock Log'!$D$2:$D$600,'Stock Log'!$B$2:$B$600,B168))</f>
        <v/>
      </c>
      <c r="U168" s="10">
        <f>IF(B168="","",IF(T168=Q168,"OK","CHECK"))</f>
        <v/>
      </c>
    </row>
    <row r="169">
      <c r="N169" s="8">
        <f>IF(OR(K169="",L169=""),"",(L169-K169)/L169)</f>
        <v/>
      </c>
      <c r="O169" s="9" t="n"/>
      <c r="S169" s="10">
        <f>IF(Q169="","",IF(Q169&lt;=0,"OUT OF STOCK",IF(Q169&lt;=R169,"REORDER","OK")))</f>
        <v/>
      </c>
      <c r="T169" s="10">
        <f>IF(B169="","",SUMIFS('Stock Log'!$D$2:$D$600,'Stock Log'!$B$2:$B$600,B169))</f>
        <v/>
      </c>
      <c r="U169" s="10">
        <f>IF(B169="","",IF(T169=Q169,"OK","CHECK"))</f>
        <v/>
      </c>
    </row>
    <row r="170">
      <c r="N170" s="8">
        <f>IF(OR(K170="",L170=""),"",(L170-K170)/L170)</f>
        <v/>
      </c>
      <c r="O170" s="9" t="n"/>
      <c r="S170" s="10">
        <f>IF(Q170="","",IF(Q170&lt;=0,"OUT OF STOCK",IF(Q170&lt;=R170,"REORDER","OK")))</f>
        <v/>
      </c>
      <c r="T170" s="10">
        <f>IF(B170="","",SUMIFS('Stock Log'!$D$2:$D$600,'Stock Log'!$B$2:$B$600,B170))</f>
        <v/>
      </c>
      <c r="U170" s="10">
        <f>IF(B170="","",IF(T170=Q170,"OK","CHECK"))</f>
        <v/>
      </c>
    </row>
    <row r="171">
      <c r="N171" s="8">
        <f>IF(OR(K171="",L171=""),"",(L171-K171)/L171)</f>
        <v/>
      </c>
      <c r="O171" s="9" t="n"/>
      <c r="S171" s="10">
        <f>IF(Q171="","",IF(Q171&lt;=0,"OUT OF STOCK",IF(Q171&lt;=R171,"REORDER","OK")))</f>
        <v/>
      </c>
      <c r="T171" s="10">
        <f>IF(B171="","",SUMIFS('Stock Log'!$D$2:$D$600,'Stock Log'!$B$2:$B$600,B171))</f>
        <v/>
      </c>
      <c r="U171" s="10">
        <f>IF(B171="","",IF(T171=Q171,"OK","CHECK"))</f>
        <v/>
      </c>
    </row>
    <row r="172">
      <c r="N172" s="8">
        <f>IF(OR(K172="",L172=""),"",(L172-K172)/L172)</f>
        <v/>
      </c>
      <c r="O172" s="9" t="n"/>
      <c r="S172" s="10">
        <f>IF(Q172="","",IF(Q172&lt;=0,"OUT OF STOCK",IF(Q172&lt;=R172,"REORDER","OK")))</f>
        <v/>
      </c>
      <c r="T172" s="10">
        <f>IF(B172="","",SUMIFS('Stock Log'!$D$2:$D$600,'Stock Log'!$B$2:$B$600,B172))</f>
        <v/>
      </c>
      <c r="U172" s="10">
        <f>IF(B172="","",IF(T172=Q172,"OK","CHECK"))</f>
        <v/>
      </c>
    </row>
    <row r="173">
      <c r="N173" s="8">
        <f>IF(OR(K173="",L173=""),"",(L173-K173)/L173)</f>
        <v/>
      </c>
      <c r="O173" s="9" t="n"/>
      <c r="S173" s="10">
        <f>IF(Q173="","",IF(Q173&lt;=0,"OUT OF STOCK",IF(Q173&lt;=R173,"REORDER","OK")))</f>
        <v/>
      </c>
      <c r="T173" s="10">
        <f>IF(B173="","",SUMIFS('Stock Log'!$D$2:$D$600,'Stock Log'!$B$2:$B$600,B173))</f>
        <v/>
      </c>
      <c r="U173" s="10">
        <f>IF(B173="","",IF(T173=Q173,"OK","CHECK"))</f>
        <v/>
      </c>
    </row>
    <row r="174">
      <c r="N174" s="8">
        <f>IF(OR(K174="",L174=""),"",(L174-K174)/L174)</f>
        <v/>
      </c>
      <c r="O174" s="9" t="n"/>
      <c r="S174" s="10">
        <f>IF(Q174="","",IF(Q174&lt;=0,"OUT OF STOCK",IF(Q174&lt;=R174,"REORDER","OK")))</f>
        <v/>
      </c>
      <c r="T174" s="10">
        <f>IF(B174="","",SUMIFS('Stock Log'!$D$2:$D$600,'Stock Log'!$B$2:$B$600,B174))</f>
        <v/>
      </c>
      <c r="U174" s="10">
        <f>IF(B174="","",IF(T174=Q174,"OK","CHECK"))</f>
        <v/>
      </c>
    </row>
    <row r="175">
      <c r="N175" s="8">
        <f>IF(OR(K175="",L175=""),"",(L175-K175)/L175)</f>
        <v/>
      </c>
      <c r="O175" s="9" t="n"/>
      <c r="S175" s="10">
        <f>IF(Q175="","",IF(Q175&lt;=0,"OUT OF STOCK",IF(Q175&lt;=R175,"REORDER","OK")))</f>
        <v/>
      </c>
      <c r="T175" s="10">
        <f>IF(B175="","",SUMIFS('Stock Log'!$D$2:$D$600,'Stock Log'!$B$2:$B$600,B175))</f>
        <v/>
      </c>
      <c r="U175" s="10">
        <f>IF(B175="","",IF(T175=Q175,"OK","CHECK"))</f>
        <v/>
      </c>
    </row>
    <row r="176">
      <c r="N176" s="8">
        <f>IF(OR(K176="",L176=""),"",(L176-K176)/L176)</f>
        <v/>
      </c>
      <c r="O176" s="9" t="n"/>
      <c r="S176" s="10">
        <f>IF(Q176="","",IF(Q176&lt;=0,"OUT OF STOCK",IF(Q176&lt;=R176,"REORDER","OK")))</f>
        <v/>
      </c>
      <c r="T176" s="10">
        <f>IF(B176="","",SUMIFS('Stock Log'!$D$2:$D$600,'Stock Log'!$B$2:$B$600,B176))</f>
        <v/>
      </c>
      <c r="U176" s="10">
        <f>IF(B176="","",IF(T176=Q176,"OK","CHECK"))</f>
        <v/>
      </c>
    </row>
    <row r="177">
      <c r="N177" s="8">
        <f>IF(OR(K177="",L177=""),"",(L177-K177)/L177)</f>
        <v/>
      </c>
      <c r="O177" s="9" t="n"/>
      <c r="S177" s="10">
        <f>IF(Q177="","",IF(Q177&lt;=0,"OUT OF STOCK",IF(Q177&lt;=R177,"REORDER","OK")))</f>
        <v/>
      </c>
      <c r="T177" s="10">
        <f>IF(B177="","",SUMIFS('Stock Log'!$D$2:$D$600,'Stock Log'!$B$2:$B$600,B177))</f>
        <v/>
      </c>
      <c r="U177" s="10">
        <f>IF(B177="","",IF(T177=Q177,"OK","CHECK"))</f>
        <v/>
      </c>
    </row>
    <row r="178">
      <c r="N178" s="8">
        <f>IF(OR(K178="",L178=""),"",(L178-K178)/L178)</f>
        <v/>
      </c>
      <c r="O178" s="9" t="n"/>
      <c r="S178" s="10">
        <f>IF(Q178="","",IF(Q178&lt;=0,"OUT OF STOCK",IF(Q178&lt;=R178,"REORDER","OK")))</f>
        <v/>
      </c>
      <c r="T178" s="10">
        <f>IF(B178="","",SUMIFS('Stock Log'!$D$2:$D$600,'Stock Log'!$B$2:$B$600,B178))</f>
        <v/>
      </c>
      <c r="U178" s="10">
        <f>IF(B178="","",IF(T178=Q178,"OK","CHECK"))</f>
        <v/>
      </c>
    </row>
    <row r="179">
      <c r="N179" s="8">
        <f>IF(OR(K179="",L179=""),"",(L179-K179)/L179)</f>
        <v/>
      </c>
      <c r="O179" s="9" t="n"/>
      <c r="S179" s="10">
        <f>IF(Q179="","",IF(Q179&lt;=0,"OUT OF STOCK",IF(Q179&lt;=R179,"REORDER","OK")))</f>
        <v/>
      </c>
      <c r="T179" s="10">
        <f>IF(B179="","",SUMIFS('Stock Log'!$D$2:$D$600,'Stock Log'!$B$2:$B$600,B179))</f>
        <v/>
      </c>
      <c r="U179" s="10">
        <f>IF(B179="","",IF(T179=Q179,"OK","CHECK"))</f>
        <v/>
      </c>
    </row>
    <row r="180">
      <c r="N180" s="8">
        <f>IF(OR(K180="",L180=""),"",(L180-K180)/L180)</f>
        <v/>
      </c>
      <c r="O180" s="9" t="n"/>
      <c r="S180" s="10">
        <f>IF(Q180="","",IF(Q180&lt;=0,"OUT OF STOCK",IF(Q180&lt;=R180,"REORDER","OK")))</f>
        <v/>
      </c>
      <c r="T180" s="10">
        <f>IF(B180="","",SUMIFS('Stock Log'!$D$2:$D$600,'Stock Log'!$B$2:$B$600,B180))</f>
        <v/>
      </c>
      <c r="U180" s="10">
        <f>IF(B180="","",IF(T180=Q180,"OK","CHECK"))</f>
        <v/>
      </c>
    </row>
    <row r="181">
      <c r="N181" s="8">
        <f>IF(OR(K181="",L181=""),"",(L181-K181)/L181)</f>
        <v/>
      </c>
      <c r="O181" s="9" t="n"/>
      <c r="S181" s="10">
        <f>IF(Q181="","",IF(Q181&lt;=0,"OUT OF STOCK",IF(Q181&lt;=R181,"REORDER","OK")))</f>
        <v/>
      </c>
      <c r="T181" s="10">
        <f>IF(B181="","",SUMIFS('Stock Log'!$D$2:$D$600,'Stock Log'!$B$2:$B$600,B181))</f>
        <v/>
      </c>
      <c r="U181" s="10">
        <f>IF(B181="","",IF(T181=Q181,"OK","CHECK"))</f>
        <v/>
      </c>
    </row>
    <row r="182">
      <c r="N182" s="8">
        <f>IF(OR(K182="",L182=""),"",(L182-K182)/L182)</f>
        <v/>
      </c>
      <c r="O182" s="9" t="n"/>
      <c r="S182" s="10">
        <f>IF(Q182="","",IF(Q182&lt;=0,"OUT OF STOCK",IF(Q182&lt;=R182,"REORDER","OK")))</f>
        <v/>
      </c>
      <c r="T182" s="10">
        <f>IF(B182="","",SUMIFS('Stock Log'!$D$2:$D$600,'Stock Log'!$B$2:$B$600,B182))</f>
        <v/>
      </c>
      <c r="U182" s="10">
        <f>IF(B182="","",IF(T182=Q182,"OK","CHECK"))</f>
        <v/>
      </c>
    </row>
    <row r="183">
      <c r="N183" s="8">
        <f>IF(OR(K183="",L183=""),"",(L183-K183)/L183)</f>
        <v/>
      </c>
      <c r="O183" s="9" t="n"/>
      <c r="S183" s="10">
        <f>IF(Q183="","",IF(Q183&lt;=0,"OUT OF STOCK",IF(Q183&lt;=R183,"REORDER","OK")))</f>
        <v/>
      </c>
      <c r="T183" s="10">
        <f>IF(B183="","",SUMIFS('Stock Log'!$D$2:$D$600,'Stock Log'!$B$2:$B$600,B183))</f>
        <v/>
      </c>
      <c r="U183" s="10">
        <f>IF(B183="","",IF(T183=Q183,"OK","CHECK"))</f>
        <v/>
      </c>
    </row>
    <row r="184">
      <c r="N184" s="8">
        <f>IF(OR(K184="",L184=""),"",(L184-K184)/L184)</f>
        <v/>
      </c>
      <c r="O184" s="9" t="n"/>
      <c r="S184" s="10">
        <f>IF(Q184="","",IF(Q184&lt;=0,"OUT OF STOCK",IF(Q184&lt;=R184,"REORDER","OK")))</f>
        <v/>
      </c>
      <c r="T184" s="10">
        <f>IF(B184="","",SUMIFS('Stock Log'!$D$2:$D$600,'Stock Log'!$B$2:$B$600,B184))</f>
        <v/>
      </c>
      <c r="U184" s="10">
        <f>IF(B184="","",IF(T184=Q184,"OK","CHECK"))</f>
        <v/>
      </c>
    </row>
    <row r="185">
      <c r="N185" s="8">
        <f>IF(OR(K185="",L185=""),"",(L185-K185)/L185)</f>
        <v/>
      </c>
      <c r="O185" s="9" t="n"/>
      <c r="S185" s="10">
        <f>IF(Q185="","",IF(Q185&lt;=0,"OUT OF STOCK",IF(Q185&lt;=R185,"REORDER","OK")))</f>
        <v/>
      </c>
      <c r="T185" s="10">
        <f>IF(B185="","",SUMIFS('Stock Log'!$D$2:$D$600,'Stock Log'!$B$2:$B$600,B185))</f>
        <v/>
      </c>
      <c r="U185" s="10">
        <f>IF(B185="","",IF(T185=Q185,"OK","CHECK"))</f>
        <v/>
      </c>
    </row>
    <row r="186">
      <c r="N186" s="8">
        <f>IF(OR(K186="",L186=""),"",(L186-K186)/L186)</f>
        <v/>
      </c>
      <c r="O186" s="9" t="n"/>
      <c r="S186" s="10">
        <f>IF(Q186="","",IF(Q186&lt;=0,"OUT OF STOCK",IF(Q186&lt;=R186,"REORDER","OK")))</f>
        <v/>
      </c>
      <c r="T186" s="10">
        <f>IF(B186="","",SUMIFS('Stock Log'!$D$2:$D$600,'Stock Log'!$B$2:$B$600,B186))</f>
        <v/>
      </c>
      <c r="U186" s="10">
        <f>IF(B186="","",IF(T186=Q186,"OK","CHECK"))</f>
        <v/>
      </c>
    </row>
    <row r="187">
      <c r="N187" s="8">
        <f>IF(OR(K187="",L187=""),"",(L187-K187)/L187)</f>
        <v/>
      </c>
      <c r="O187" s="9" t="n"/>
      <c r="S187" s="10">
        <f>IF(Q187="","",IF(Q187&lt;=0,"OUT OF STOCK",IF(Q187&lt;=R187,"REORDER","OK")))</f>
        <v/>
      </c>
      <c r="T187" s="10">
        <f>IF(B187="","",SUMIFS('Stock Log'!$D$2:$D$600,'Stock Log'!$B$2:$B$600,B187))</f>
        <v/>
      </c>
      <c r="U187" s="10">
        <f>IF(B187="","",IF(T187=Q187,"OK","CHECK"))</f>
        <v/>
      </c>
    </row>
    <row r="188">
      <c r="N188" s="8">
        <f>IF(OR(K188="",L188=""),"",(L188-K188)/L188)</f>
        <v/>
      </c>
      <c r="O188" s="9" t="n"/>
      <c r="S188" s="10">
        <f>IF(Q188="","",IF(Q188&lt;=0,"OUT OF STOCK",IF(Q188&lt;=R188,"REORDER","OK")))</f>
        <v/>
      </c>
      <c r="T188" s="10">
        <f>IF(B188="","",SUMIFS('Stock Log'!$D$2:$D$600,'Stock Log'!$B$2:$B$600,B188))</f>
        <v/>
      </c>
      <c r="U188" s="10">
        <f>IF(B188="","",IF(T188=Q188,"OK","CHECK"))</f>
        <v/>
      </c>
    </row>
    <row r="189">
      <c r="N189" s="8">
        <f>IF(OR(K189="",L189=""),"",(L189-K189)/L189)</f>
        <v/>
      </c>
      <c r="O189" s="9" t="n"/>
      <c r="S189" s="10">
        <f>IF(Q189="","",IF(Q189&lt;=0,"OUT OF STOCK",IF(Q189&lt;=R189,"REORDER","OK")))</f>
        <v/>
      </c>
      <c r="T189" s="10">
        <f>IF(B189="","",SUMIFS('Stock Log'!$D$2:$D$600,'Stock Log'!$B$2:$B$600,B189))</f>
        <v/>
      </c>
      <c r="U189" s="10">
        <f>IF(B189="","",IF(T189=Q189,"OK","CHECK"))</f>
        <v/>
      </c>
    </row>
    <row r="190">
      <c r="N190" s="8">
        <f>IF(OR(K190="",L190=""),"",(L190-K190)/L190)</f>
        <v/>
      </c>
      <c r="O190" s="9" t="n"/>
      <c r="S190" s="10">
        <f>IF(Q190="","",IF(Q190&lt;=0,"OUT OF STOCK",IF(Q190&lt;=R190,"REORDER","OK")))</f>
        <v/>
      </c>
      <c r="T190" s="10">
        <f>IF(B190="","",SUMIFS('Stock Log'!$D$2:$D$600,'Stock Log'!$B$2:$B$600,B190))</f>
        <v/>
      </c>
      <c r="U190" s="10">
        <f>IF(B190="","",IF(T190=Q190,"OK","CHECK"))</f>
        <v/>
      </c>
    </row>
    <row r="191">
      <c r="N191" s="8">
        <f>IF(OR(K191="",L191=""),"",(L191-K191)/L191)</f>
        <v/>
      </c>
      <c r="O191" s="9" t="n"/>
      <c r="S191" s="10">
        <f>IF(Q191="","",IF(Q191&lt;=0,"OUT OF STOCK",IF(Q191&lt;=R191,"REORDER","OK")))</f>
        <v/>
      </c>
      <c r="T191" s="10">
        <f>IF(B191="","",SUMIFS('Stock Log'!$D$2:$D$600,'Stock Log'!$B$2:$B$600,B191))</f>
        <v/>
      </c>
      <c r="U191" s="10">
        <f>IF(B191="","",IF(T191=Q191,"OK","CHECK"))</f>
        <v/>
      </c>
    </row>
    <row r="192">
      <c r="N192" s="8">
        <f>IF(OR(K192="",L192=""),"",(L192-K192)/L192)</f>
        <v/>
      </c>
      <c r="O192" s="9" t="n"/>
      <c r="S192" s="10">
        <f>IF(Q192="","",IF(Q192&lt;=0,"OUT OF STOCK",IF(Q192&lt;=R192,"REORDER","OK")))</f>
        <v/>
      </c>
      <c r="T192" s="10">
        <f>IF(B192="","",SUMIFS('Stock Log'!$D$2:$D$600,'Stock Log'!$B$2:$B$600,B192))</f>
        <v/>
      </c>
      <c r="U192" s="10">
        <f>IF(B192="","",IF(T192=Q192,"OK","CHECK"))</f>
        <v/>
      </c>
    </row>
    <row r="193">
      <c r="N193" s="8">
        <f>IF(OR(K193="",L193=""),"",(L193-K193)/L193)</f>
        <v/>
      </c>
      <c r="O193" s="9" t="n"/>
      <c r="S193" s="10">
        <f>IF(Q193="","",IF(Q193&lt;=0,"OUT OF STOCK",IF(Q193&lt;=R193,"REORDER","OK")))</f>
        <v/>
      </c>
      <c r="T193" s="10">
        <f>IF(B193="","",SUMIFS('Stock Log'!$D$2:$D$600,'Stock Log'!$B$2:$B$600,B193))</f>
        <v/>
      </c>
      <c r="U193" s="10">
        <f>IF(B193="","",IF(T193=Q193,"OK","CHECK"))</f>
        <v/>
      </c>
    </row>
    <row r="194">
      <c r="N194" s="8">
        <f>IF(OR(K194="",L194=""),"",(L194-K194)/L194)</f>
        <v/>
      </c>
      <c r="O194" s="9" t="n"/>
      <c r="S194" s="10">
        <f>IF(Q194="","",IF(Q194&lt;=0,"OUT OF STOCK",IF(Q194&lt;=R194,"REORDER","OK")))</f>
        <v/>
      </c>
      <c r="T194" s="10">
        <f>IF(B194="","",SUMIFS('Stock Log'!$D$2:$D$600,'Stock Log'!$B$2:$B$600,B194))</f>
        <v/>
      </c>
      <c r="U194" s="10">
        <f>IF(B194="","",IF(T194=Q194,"OK","CHECK"))</f>
        <v/>
      </c>
    </row>
    <row r="195">
      <c r="N195" s="8">
        <f>IF(OR(K195="",L195=""),"",(L195-K195)/L195)</f>
        <v/>
      </c>
      <c r="O195" s="9" t="n"/>
      <c r="S195" s="10">
        <f>IF(Q195="","",IF(Q195&lt;=0,"OUT OF STOCK",IF(Q195&lt;=R195,"REORDER","OK")))</f>
        <v/>
      </c>
      <c r="T195" s="10">
        <f>IF(B195="","",SUMIFS('Stock Log'!$D$2:$D$600,'Stock Log'!$B$2:$B$600,B195))</f>
        <v/>
      </c>
      <c r="U195" s="10">
        <f>IF(B195="","",IF(T195=Q195,"OK","CHECK"))</f>
        <v/>
      </c>
    </row>
    <row r="196">
      <c r="N196" s="8">
        <f>IF(OR(K196="",L196=""),"",(L196-K196)/L196)</f>
        <v/>
      </c>
      <c r="O196" s="9" t="n"/>
      <c r="S196" s="10">
        <f>IF(Q196="","",IF(Q196&lt;=0,"OUT OF STOCK",IF(Q196&lt;=R196,"REORDER","OK")))</f>
        <v/>
      </c>
      <c r="T196" s="10">
        <f>IF(B196="","",SUMIFS('Stock Log'!$D$2:$D$600,'Stock Log'!$B$2:$B$600,B196))</f>
        <v/>
      </c>
      <c r="U196" s="10">
        <f>IF(B196="","",IF(T196=Q196,"OK","CHECK"))</f>
        <v/>
      </c>
    </row>
    <row r="197">
      <c r="N197" s="8">
        <f>IF(OR(K197="",L197=""),"",(L197-K197)/L197)</f>
        <v/>
      </c>
      <c r="O197" s="9" t="n"/>
      <c r="S197" s="10">
        <f>IF(Q197="","",IF(Q197&lt;=0,"OUT OF STOCK",IF(Q197&lt;=R197,"REORDER","OK")))</f>
        <v/>
      </c>
      <c r="T197" s="10">
        <f>IF(B197="","",SUMIFS('Stock Log'!$D$2:$D$600,'Stock Log'!$B$2:$B$600,B197))</f>
        <v/>
      </c>
      <c r="U197" s="10">
        <f>IF(B197="","",IF(T197=Q197,"OK","CHECK"))</f>
        <v/>
      </c>
    </row>
    <row r="198">
      <c r="N198" s="8">
        <f>IF(OR(K198="",L198=""),"",(L198-K198)/L198)</f>
        <v/>
      </c>
      <c r="O198" s="9" t="n"/>
      <c r="S198" s="10">
        <f>IF(Q198="","",IF(Q198&lt;=0,"OUT OF STOCK",IF(Q198&lt;=R198,"REORDER","OK")))</f>
        <v/>
      </c>
      <c r="T198" s="10">
        <f>IF(B198="","",SUMIFS('Stock Log'!$D$2:$D$600,'Stock Log'!$B$2:$B$600,B198))</f>
        <v/>
      </c>
      <c r="U198" s="10">
        <f>IF(B198="","",IF(T198=Q198,"OK","CHECK"))</f>
        <v/>
      </c>
    </row>
    <row r="199">
      <c r="N199" s="8">
        <f>IF(OR(K199="",L199=""),"",(L199-K199)/L199)</f>
        <v/>
      </c>
      <c r="O199" s="9" t="n"/>
      <c r="S199" s="10">
        <f>IF(Q199="","",IF(Q199&lt;=0,"OUT OF STOCK",IF(Q199&lt;=R199,"REORDER","OK")))</f>
        <v/>
      </c>
      <c r="T199" s="10">
        <f>IF(B199="","",SUMIFS('Stock Log'!$D$2:$D$600,'Stock Log'!$B$2:$B$600,B199))</f>
        <v/>
      </c>
      <c r="U199" s="10">
        <f>IF(B199="","",IF(T199=Q199,"OK","CHECK"))</f>
        <v/>
      </c>
    </row>
    <row r="200">
      <c r="N200" s="8">
        <f>IF(OR(K200="",L200=""),"",(L200-K200)/L200)</f>
        <v/>
      </c>
      <c r="O200" s="9" t="n"/>
      <c r="S200" s="10">
        <f>IF(Q200="","",IF(Q200&lt;=0,"OUT OF STOCK",IF(Q200&lt;=R200,"REORDER","OK")))</f>
        <v/>
      </c>
      <c r="T200" s="10">
        <f>IF(B200="","",SUMIFS('Stock Log'!$D$2:$D$600,'Stock Log'!$B$2:$B$600,B200))</f>
        <v/>
      </c>
      <c r="U200" s="10">
        <f>IF(B200="","",IF(T200=Q200,"OK","CHECK"))</f>
        <v/>
      </c>
    </row>
  </sheetData>
  <conditionalFormatting sqref="S2:S200">
    <cfRule type="expression" priority="1" dxfId="0">
      <formula>$S2="OUT OF STOCK"</formula>
    </cfRule>
    <cfRule type="expression" priority="2" dxfId="1">
      <formula>$S2="REORDER"</formula>
    </cfRule>
  </conditionalFormatting>
  <conditionalFormatting sqref="U2:U200">
    <cfRule type="expression" priority="3" dxfId="0">
      <formula>$U2="CHECK"</formula>
    </cfRule>
  </conditionalFormatting>
  <dataValidations count="9">
    <dataValidation sqref="F2:F200" showDropDown="0" showInputMessage="0" showErrorMessage="1" allowBlank="1" errorTitle="Pick from the list" error="Choose a value from the Master Category dropdown (or edit the Lists sheet to add one)." type="list">
      <formula1>Lists!$A$2:$A$9</formula1>
    </dataValidation>
    <dataValidation sqref="H2:H200" showDropDown="0" showInputMessage="0" showErrorMessage="1" allowBlank="1" errorTitle="Pick from the list" error="Choose a value from the Material dropdown (or edit the Lists sheet to add one)." type="list">
      <formula1>Lists!$B$2:$B$11</formula1>
    </dataValidation>
    <dataValidation sqref="I2:I200" showDropDown="0" showInputMessage="0" showErrorMessage="1" allowBlank="1" errorTitle="Pick from the list" error="Choose a value from the Unit Type dropdown (or edit the Lists sheet to add one)." type="list">
      <formula1>Lists!$C$2:$C$4</formula1>
    </dataValidation>
    <dataValidation sqref="O2:O200" showDropDown="0" showInputMessage="0" showErrorMessage="1" allowBlank="1" errorTitle="Pick from the list" error="Choose a value from the GST Rate dropdown (or edit the Lists sheet to add one)." type="list">
      <formula1>Lists!$D$2:$D$5</formula1>
    </dataValidation>
    <dataValidation sqref="Y2:Y200" showDropDown="0" showInputMessage="0" showErrorMessage="1" allowBlank="1" errorTitle="Pick from the list" error="Choose a value from the Photo Quality dropdown (or edit the Lists sheet to add one)." type="list">
      <formula1>Lists!$E$2:$E$4</formula1>
    </dataValidation>
    <dataValidation sqref="Z2:Z200" showDropDown="0" showInputMessage="0" showErrorMessage="1" allowBlank="1" errorTitle="Pick from the list" error="Choose a value from the Live on Site dropdown (or edit the Lists sheet to add one)." type="list">
      <formula1>Lists!$F$2:$F$3</formula1>
    </dataValidation>
    <dataValidation sqref="AA2:AA200" showDropDown="0" showInputMessage="0" showErrorMessage="1" allowBlank="1" errorTitle="Pick from the list" error="Choose a value from the Listing Status dropdown (or edit the Lists sheet to add one)." type="list">
      <formula1>Lists!$G$2:$G$4</formula1>
    </dataValidation>
    <dataValidation sqref="AB2:AB200" showDropDown="0" showInputMessage="0" showErrorMessage="1" allowBlank="1" errorTitle="Pick from the list" error="Choose a value from the Sticker dropdown (or edit the Lists sheet to add one)." type="list">
      <formula1>Lists!$H$2:$H$5</formula1>
    </dataValidation>
    <dataValidation sqref="W2:W200" showDropDown="0" showInputMessage="0" showErrorMessage="1" allowBlank="1" errorTitle="Pick from the list" error="Choose a value from the Supplier dropdown (or edit the Lists sheet to add one)." type="list">
      <formula1>Lists!$J$2:$J$4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20" customWidth="1" min="5" max="5"/>
    <col width="44" customWidth="1" min="6" max="6"/>
  </cols>
  <sheetData>
    <row r="1">
      <c r="A1" s="11" t="inlineStr">
        <is>
          <t>Date</t>
        </is>
      </c>
      <c r="B1" s="11" t="inlineStr">
        <is>
          <t>Product ID</t>
        </is>
      </c>
      <c r="C1" s="11" t="inlineStr">
        <is>
          <t>Movement</t>
        </is>
      </c>
      <c r="D1" s="11" t="inlineStr">
        <is>
          <t>Qty (+in / −out)</t>
        </is>
      </c>
      <c r="E1" s="11" t="inlineStr">
        <is>
          <t>Reference (PO / Order)</t>
        </is>
      </c>
      <c r="F1" s="11" t="inlineStr">
        <is>
          <t>Notes</t>
        </is>
      </c>
    </row>
    <row r="2">
      <c r="A2" s="7" t="inlineStr">
        <is>
          <t>2026-08-01</t>
        </is>
      </c>
      <c r="B2" s="2" t="inlineStr">
        <is>
          <t>lc-example-1</t>
        </is>
      </c>
      <c r="C2" s="2" t="inlineStr">
        <is>
          <t>Received</t>
        </is>
      </c>
      <c r="D2" s="2" t="n">
        <v>3</v>
      </c>
      <c r="E2" s="2" t="inlineStr">
        <is>
          <t>PO-001</t>
        </is>
      </c>
      <c r="F2" s="2" t="inlineStr">
        <is>
          <t>EXAMPLE ROW — first stock intake</t>
        </is>
      </c>
    </row>
  </sheetData>
  <dataValidations count="1">
    <dataValidation sqref="C2:C600" showDropDown="0" showInputMessage="0" showErrorMessage="0" allowBlank="1" type="list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4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2" ht="15" customHeight="1">
      <c r="B2" s="12" t="inlineStr">
        <is>
          <t>TRESOR COUTURE — MASTER CATALOGUE</t>
        </is>
      </c>
    </row>
    <row r="3" ht="15" customHeight="1">
      <c r="B3" s="13" t="inlineStr"/>
    </row>
    <row r="4" ht="30" customHeight="1">
      <c r="B4" s="13" t="inlineStr">
        <is>
          <t>ONE ROW = ONE SELLABLE SKU. Each colourway is its own row because it is separately purchasable stock (this mirrors the website database: the Product ID column is the site id, so the two always reconcile).</t>
        </is>
      </c>
    </row>
    <row r="5" ht="15" customHeight="1">
      <c r="B5" s="13" t="inlineStr"/>
    </row>
    <row r="6" ht="15" customHeight="1">
      <c r="B6" s="12" t="inlineStr">
        <is>
          <t>SHEETS</t>
        </is>
      </c>
    </row>
    <row r="7" ht="30" customHeight="1">
      <c r="B7" s="13" t="inlineStr">
        <is>
          <t>Catalogue — the single unified sheet: identity, category, pricing, tax, stock, photo and listing state per SKU.</t>
        </is>
      </c>
    </row>
    <row r="8" ht="30" customHeight="1">
      <c r="B8" s="13" t="inlineStr">
        <is>
          <t>Stock Log — every stock movement, one row per event: Opening / Received / Sold / Returned / Adjustment. This answers "when did the stock come" permanently — never edit old rows, only add new ones.</t>
        </is>
      </c>
    </row>
    <row r="9" ht="30" customHeight="1">
      <c r="B9" s="13" t="inlineStr">
        <is>
          <t>Lists — the dropdown sources. Add a supplier or category here and every dropdown picks it up.</t>
        </is>
      </c>
    </row>
    <row r="10" ht="15" customHeight="1">
      <c r="B10" s="13" t="inlineStr"/>
    </row>
    <row r="11" ht="15" customHeight="1">
      <c r="B11" s="12" t="inlineStr">
        <is>
          <t>HOW STOCK RECONCILES</t>
        </is>
      </c>
    </row>
    <row r="12" ht="30" customHeight="1">
      <c r="B12" s="13" t="inlineStr">
        <is>
          <t>"Stock per Log" sums the Stock Log for that Product ID. "Log Match" turns red (CHECK) whenever the log and the Stock Qty column disagree — that is how you catch untracked movements. Keep Stock Qty as the live truth and record every change in the log, and the two stay green.</t>
        </is>
      </c>
    </row>
    <row r="13" ht="15" customHeight="1">
      <c r="B13" s="13" t="inlineStr"/>
    </row>
    <row r="14" ht="15" customHeight="1">
      <c r="B14" s="12" t="inlineStr">
        <is>
          <t>CELL COLOURS</t>
        </is>
      </c>
    </row>
    <row r="15" ht="30" customHeight="1">
      <c r="B15" s="13" t="inlineStr">
        <is>
          <t>Blue text = a number you typed (e.g. Buying Price). Black = calculated, do not overwrite (Margin %, Stock Status, Stock per Log, Log Match).</t>
        </is>
      </c>
    </row>
    <row r="16" ht="30" customHeight="1">
      <c r="B16" s="13" t="inlineStr">
        <is>
          <t>Red fill = OUT OF STOCK or a log mismatch. Amber fill = at/below reorder level.</t>
        </is>
      </c>
    </row>
    <row r="17" ht="15" customHeight="1">
      <c r="B17" s="13" t="inlineStr"/>
    </row>
    <row r="18" ht="15" customHeight="1">
      <c r="B18" s="12" t="inlineStr">
        <is>
          <t>ASSUMPTIONS IN THE SAMPLE FILE</t>
        </is>
      </c>
    </row>
    <row r="19" ht="30" customHeight="1">
      <c r="B19" s="13" t="inlineStr">
        <is>
          <t>Buying prices are ILLUSTRATIVE (≈58–62% of selling price) — the database does not store cost prices yet. Replace them with real purchase-order costs. Source: generated from the live site database on 2026-08-16.</t>
        </is>
      </c>
    </row>
    <row r="20" ht="30" customHeight="1">
      <c r="B20" s="13" t="inlineStr">
        <is>
          <t>GST Rate defaults to 5% and HSN is left blank pending your CA's confirmation. Note: garments above ₹2,500 per piece attract 18% under the Sept-2025 rate structure — confirm before relying on the 5% default.</t>
        </is>
      </c>
    </row>
    <row r="21" ht="30" customHeight="1">
      <c r="B21" s="13" t="inlineStr">
        <is>
          <t>The Stock Log sample month (9 Jul – 16 Aug 2026) uses real products and current stock levels; the individual sale/return events are illustrative examples in the correct format.</t>
        </is>
      </c>
    </row>
    <row r="22" ht="15" customHeight="1">
      <c r="B22" s="13" t="inlineStr"/>
    </row>
    <row r="23" ht="15" customHeight="1">
      <c r="B23" s="12" t="inlineStr">
        <is>
          <t>PHOTOS</t>
        </is>
      </c>
    </row>
    <row r="24" ht="30" customHeight="1">
      <c r="B24" s="13" t="inlineStr">
        <is>
          <t>The Photo column holds a thumbnail (sample file) and Image URL holds the live site image. For new products, paste the image URL; add the thumbnail with Insert → Picture → Place in Cell if you want it inline.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1" t="inlineStr">
        <is>
          <t>Master Category</t>
        </is>
      </c>
      <c r="B1" s="11" t="inlineStr">
        <is>
          <t>Material</t>
        </is>
      </c>
      <c r="C1" s="11" t="inlineStr">
        <is>
          <t>Unit Type</t>
        </is>
      </c>
      <c r="D1" s="11" t="inlineStr">
        <is>
          <t>GST Rate</t>
        </is>
      </c>
      <c r="E1" s="11" t="inlineStr">
        <is>
          <t>Photo Quality</t>
        </is>
      </c>
      <c r="F1" s="11" t="inlineStr">
        <is>
          <t>Live on Site</t>
        </is>
      </c>
      <c r="G1" s="11" t="inlineStr">
        <is>
          <t>Listing Status</t>
        </is>
      </c>
      <c r="H1" s="11" t="inlineStr">
        <is>
          <t>Sticker</t>
        </is>
      </c>
      <c r="I1" s="11" t="inlineStr">
        <is>
          <t>Movement</t>
        </is>
      </c>
      <c r="J1" s="11" t="inlineStr">
        <is>
          <t>Supplier</t>
        </is>
      </c>
    </row>
    <row r="2">
      <c r="A2" s="10" t="inlineStr">
        <is>
          <t>Fabrics</t>
        </is>
      </c>
      <c r="B2" s="10" t="inlineStr">
        <is>
          <t>Silk</t>
        </is>
      </c>
      <c r="C2" s="10" t="inlineStr">
        <is>
          <t>unit</t>
        </is>
      </c>
      <c r="D2" s="14" t="n">
        <v>0</v>
      </c>
      <c r="E2" s="10" t="inlineStr">
        <is>
          <t>Studio</t>
        </is>
      </c>
      <c r="F2" s="10" t="inlineStr">
        <is>
          <t>Yes</t>
        </is>
      </c>
      <c r="G2" s="10" t="inlineStr">
        <is>
          <t>Active</t>
        </is>
      </c>
      <c r="H2" s="10" t="inlineStr">
        <is>
          <t>New In</t>
        </is>
      </c>
      <c r="I2" s="10" t="inlineStr">
        <is>
          <t>Opening</t>
        </is>
      </c>
      <c r="J2" s="10" t="inlineStr">
        <is>
          <t>Supplier A (rename me)</t>
        </is>
      </c>
    </row>
    <row r="3">
      <c r="A3" s="10" t="inlineStr">
        <is>
          <t>Dyeable Fabrics</t>
        </is>
      </c>
      <c r="B3" s="10" t="inlineStr">
        <is>
          <t>Silk blend</t>
        </is>
      </c>
      <c r="C3" s="10" t="inlineStr">
        <is>
          <t>per meter</t>
        </is>
      </c>
      <c r="D3" s="14" t="n">
        <v>0.05</v>
      </c>
      <c r="E3" s="10" t="inlineStr">
        <is>
          <t>Acceptable</t>
        </is>
      </c>
      <c r="F3" s="10" t="inlineStr">
        <is>
          <t>No</t>
        </is>
      </c>
      <c r="G3" s="10" t="inlineStr">
        <is>
          <t>Draft</t>
        </is>
      </c>
      <c r="H3" s="10" t="inlineStr">
        <is>
          <t>Bestseller</t>
        </is>
      </c>
      <c r="I3" s="10" t="inlineStr">
        <is>
          <t>Received</t>
        </is>
      </c>
      <c r="J3" s="10" t="inlineStr">
        <is>
          <t>Supplier B (rename me)</t>
        </is>
      </c>
    </row>
    <row r="4">
      <c r="A4" s="10" t="inlineStr">
        <is>
          <t>Laces</t>
        </is>
      </c>
      <c r="B4" s="10" t="inlineStr">
        <is>
          <t>Cotton</t>
        </is>
      </c>
      <c r="C4" s="10" t="inlineStr">
        <is>
          <t>bundle</t>
        </is>
      </c>
      <c r="D4" s="14" t="n">
        <v>0.12</v>
      </c>
      <c r="E4" s="10" t="inlineStr">
        <is>
          <t>Needs reshoot</t>
        </is>
      </c>
      <c r="G4" s="10" t="inlineStr">
        <is>
          <t>Retired</t>
        </is>
      </c>
      <c r="H4" s="10" t="inlineStr">
        <is>
          <t>Trending</t>
        </is>
      </c>
      <c r="I4" s="10" t="inlineStr">
        <is>
          <t>Sold</t>
        </is>
      </c>
      <c r="J4" s="10" t="inlineStr">
        <is>
          <t>Atelier — own production</t>
        </is>
      </c>
    </row>
    <row r="5">
      <c r="A5" s="10" t="inlineStr">
        <is>
          <t>Sarees</t>
        </is>
      </c>
      <c r="B5" s="10" t="inlineStr">
        <is>
          <t>Wool</t>
        </is>
      </c>
      <c r="D5" s="14" t="n">
        <v>0.18</v>
      </c>
      <c r="H5" s="10" t="inlineStr">
        <is>
          <t>Limited</t>
        </is>
      </c>
      <c r="I5" s="10" t="inlineStr">
        <is>
          <t>Returned</t>
        </is>
      </c>
    </row>
    <row r="6">
      <c r="A6" s="10" t="inlineStr">
        <is>
          <t>Lehenga Cholis</t>
        </is>
      </c>
      <c r="B6" s="10" t="inlineStr">
        <is>
          <t>Linen</t>
        </is>
      </c>
      <c r="I6" s="10" t="inlineStr">
        <is>
          <t>Adjustment</t>
        </is>
      </c>
    </row>
    <row r="7">
      <c r="A7" s="10" t="inlineStr">
        <is>
          <t>Anarkalis</t>
        </is>
      </c>
      <c r="B7" s="10" t="inlineStr">
        <is>
          <t>Satin</t>
        </is>
      </c>
    </row>
    <row r="8">
      <c r="A8" s="10" t="inlineStr">
        <is>
          <t>Western Wear</t>
        </is>
      </c>
      <c r="B8" s="10" t="inlineStr">
        <is>
          <t>Net</t>
        </is>
      </c>
    </row>
    <row r="9">
      <c r="A9" s="10" t="inlineStr">
        <is>
          <t>Studios Prêt</t>
        </is>
      </c>
      <c r="B9" s="10" t="inlineStr">
        <is>
          <t>Georgette</t>
        </is>
      </c>
    </row>
    <row r="10">
      <c r="B10" s="10" t="inlineStr">
        <is>
          <t>Organza</t>
        </is>
      </c>
    </row>
    <row r="11">
      <c r="B11" s="10" t="inlineStr">
        <is>
          <t>Mixed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2026-08-16T10:08:33Z</dcterms:created>
  <dcterms:modified xsi:type="dcterms:W3CDTF">2026-08-16T10:08:33Z</dcterms:modified>
</cp:coreProperties>
</file>