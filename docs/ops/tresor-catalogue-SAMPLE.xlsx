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ue" sheetId="1" state="visible" r:id="rId1"/>
    <sheet name="Stock Log" sheetId="2" state="visible" r:id="rId2"/>
    <sheet name="Orders &amp; Returns" sheetId="3" state="visible" r:id="rId3"/>
    <sheet name="Action Tracker" sheetId="4" state="visible" r:id="rId4"/>
    <sheet name="How To Use" sheetId="5" state="visible" r:id="rId5"/>
    <sheet name="Lists" sheetId="6" state="visible" r:id="rId6"/>
  </sheets>
  <definedNames>
    <definedName name="_xlnm._FilterDatabase" localSheetId="0" hidden="1">'Catalogue'!$A$1:$AD$200</definedName>
    <definedName name="_xlnm._FilterDatabase" localSheetId="1" hidden="1">'Stock Log'!$A$1:$G$600</definedName>
    <definedName name="_xlnm._FilterDatabase" localSheetId="2" hidden="1">'Orders &amp; Returns'!$A$1:$N$400</definedName>
    <definedName name="_xlnm._FilterDatabase" localSheetId="3" hidden="1">'Action Tracker'!$A$1:$G$120</definedName>
  </definedNames>
  <calcPr calcId="124519" fullCalcOnLoad="1"/>
</workbook>
</file>

<file path=xl/styles.xml><?xml version="1.0" encoding="utf-8"?>
<styleSheet xmlns="http://schemas.openxmlformats.org/spreadsheetml/2006/main">
  <numFmts count="3">
    <numFmt numFmtId="164" formatCode="&quot;₹&quot;#,##0"/>
    <numFmt numFmtId="165" formatCode="0.0%"/>
    <numFmt numFmtId="166" formatCode="yyyy-mm-dd"/>
  </numFmts>
  <fonts count="5">
    <font>
      <name val="Calibri"/>
      <family val="2"/>
      <color theme="1"/>
      <sz val="11"/>
      <scheme val="minor"/>
    </font>
    <font>
      <name val="Arial"/>
      <b val="1"/>
      <color rgb="00FFFFFF"/>
      <sz val="9"/>
    </font>
    <font>
      <name val="Arial"/>
      <sz val="10"/>
    </font>
    <font>
      <name val="Arial"/>
      <color rgb="000000FF"/>
      <sz val="10"/>
    </font>
    <font>
      <name val="Arial"/>
      <b val="1"/>
      <sz val="11"/>
    </font>
  </fonts>
  <fills count="3">
    <fill>
      <patternFill/>
    </fill>
    <fill>
      <patternFill patternType="gray125"/>
    </fill>
    <fill>
      <patternFill patternType="solid">
        <fgColor rgb="001F2A44"/>
      </patternFill>
    </fill>
  </fills>
  <borders count="2">
    <border>
      <left/>
      <right/>
      <top/>
      <bottom/>
      <diagonal/>
    </border>
    <border>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2" fillId="0" borderId="1" pivotButton="0" quotePrefix="0" xfId="0"/>
    <xf numFmtId="164" fontId="3" fillId="0" borderId="1" pivotButton="0" quotePrefix="0" xfId="0"/>
    <xf numFmtId="164" fontId="2" fillId="0" borderId="1" pivotButton="0" quotePrefix="0" xfId="0"/>
    <xf numFmtId="165" fontId="2" fillId="0" borderId="1" pivotButton="0" quotePrefix="0" xfId="0"/>
    <xf numFmtId="9" fontId="2" fillId="0" borderId="1" pivotButton="0" quotePrefix="0" xfId="0"/>
    <xf numFmtId="166" fontId="2" fillId="0" borderId="1" pivotButton="0" quotePrefix="0" xfId="0"/>
    <xf numFmtId="0" fontId="2" fillId="0" borderId="1" applyAlignment="1" pivotButton="0" quotePrefix="0" xfId="0">
      <alignment vertical="top" wrapText="1"/>
    </xf>
    <xf numFmtId="165" fontId="2" fillId="0" borderId="0" pivotButton="0" quotePrefix="0" xfId="0"/>
    <xf numFmtId="9" fontId="0" fillId="0" borderId="0" pivotButton="0" quotePrefix="0" xfId="0"/>
    <xf numFmtId="0" fontId="2" fillId="0" borderId="0" pivotButton="0" quotePrefix="0" xfId="0"/>
    <xf numFmtId="0" fontId="1" fillId="2" borderId="0" pivotButton="0" quotePrefix="0" xfId="0"/>
    <xf numFmtId="0" fontId="2" fillId="0" borderId="1" applyAlignment="1" pivotButton="0" quotePrefix="0" xfId="0">
      <alignment vertical="top"/>
    </xf>
    <xf numFmtId="0" fontId="4" fillId="0" borderId="0" applyAlignment="1" pivotButton="0" quotePrefix="0" xfId="0">
      <alignment vertical="top" wrapText="1"/>
    </xf>
    <xf numFmtId="0" fontId="2" fillId="0" borderId="0" applyAlignment="1" pivotButton="0" quotePrefix="0" xfId="0">
      <alignment vertical="top" wrapText="1"/>
    </xf>
    <xf numFmtId="9" fontId="2" fillId="0" borderId="0" pivotButton="0" quotePrefix="0" xfId="0"/>
  </cellXfs>
  <cellStyles count="1">
    <cellStyle name="Normal" xfId="0" builtinId="0" hidden="0"/>
  </cellStyles>
  <dxfs count="3">
    <dxf>
      <fill>
        <patternFill patternType="solid">
          <fgColor rgb="00F8D3D0"/>
        </patternFill>
      </fill>
    </dxf>
    <dxf>
      <fill>
        <patternFill patternType="solid">
          <fgColor rgb="00FBEAC9"/>
        </patternFill>
      </fill>
    </dxf>
    <dxf>
      <fill>
        <patternFill patternType="solid">
          <fgColor rgb="00D8EFD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row>
      <rowOff>0</rowOff>
    </from>
    <ext cx="914400" cy="685800"/>
    <pic>
      <nvPicPr>
        <cNvPr id="1" name="Image 1" descr="Picture"/>
        <cNvPicPr/>
      </nvPicPr>
      <blipFill>
        <a:blip cstate="print" r:embed="rId1"/>
        <a:stretch>
          <a:fillRect/>
        </a:stretch>
      </blipFill>
      <spPr>
        <a:prstGeom prst="rect"/>
      </spPr>
    </pic>
    <clientData/>
  </oneCellAnchor>
  <oneCellAnchor>
    <from>
      <col>0</col>
      <colOff>0</colOff>
      <row>2</row>
      <rowOff>0</rowOff>
    </from>
    <ext cx="914400" cy="685800"/>
    <pic>
      <nvPicPr>
        <cNvPr id="2" name="Image 2" descr="Picture"/>
        <cNvPicPr/>
      </nvPicPr>
      <blipFill>
        <a:blip cstate="print" r:embed="rId2"/>
        <a:stretch>
          <a:fillRect/>
        </a:stretch>
      </blipFill>
      <spPr>
        <a:prstGeom prst="rect"/>
      </spPr>
    </pic>
    <clientData/>
  </oneCellAnchor>
  <oneCellAnchor>
    <from>
      <col>0</col>
      <colOff>0</colOff>
      <row>3</row>
      <rowOff>0</rowOff>
    </from>
    <ext cx="914400" cy="685800"/>
    <pic>
      <nvPicPr>
        <cNvPr id="3" name="Image 3" descr="Picture"/>
        <cNvPicPr/>
      </nvPicPr>
      <blipFill>
        <a:blip cstate="print" r:embed="rId3"/>
        <a:stretch>
          <a:fillRect/>
        </a:stretch>
      </blipFill>
      <spPr>
        <a:prstGeom prst="rect"/>
      </spPr>
    </pic>
    <clientData/>
  </oneCellAnchor>
  <oneCellAnchor>
    <from>
      <col>0</col>
      <colOff>0</colOff>
      <row>4</row>
      <rowOff>0</rowOff>
    </from>
    <ext cx="914400" cy="685800"/>
    <pic>
      <nvPicPr>
        <cNvPr id="4" name="Image 4" descr="Picture"/>
        <cNvPicPr/>
      </nvPicPr>
      <blipFill>
        <a:blip cstate="print" r:embed="rId4"/>
        <a:stretch>
          <a:fillRect/>
        </a:stretch>
      </blipFill>
      <spPr>
        <a:prstGeom prst="rect"/>
      </spPr>
    </pic>
    <clientData/>
  </oneCellAnchor>
  <oneCellAnchor>
    <from>
      <col>0</col>
      <colOff>0</colOff>
      <row>5</row>
      <rowOff>0</rowOff>
    </from>
    <ext cx="914400" cy="685800"/>
    <pic>
      <nvPicPr>
        <cNvPr id="5" name="Image 5" descr="Picture"/>
        <cNvPicPr/>
      </nvPicPr>
      <blipFill>
        <a:blip cstate="print" r:embed="rId5"/>
        <a:stretch>
          <a:fillRect/>
        </a:stretch>
      </blipFill>
      <spPr>
        <a:prstGeom prst="rect"/>
      </spPr>
    </pic>
    <clientData/>
  </oneCellAnchor>
  <oneCellAnchor>
    <from>
      <col>0</col>
      <colOff>0</colOff>
      <row>6</row>
      <rowOff>0</rowOff>
    </from>
    <ext cx="914400" cy="685800"/>
    <pic>
      <nvPicPr>
        <cNvPr id="6" name="Image 6" descr="Picture"/>
        <cNvPicPr/>
      </nvPicPr>
      <blipFill>
        <a:blip cstate="print" r:embed="rId6"/>
        <a:stretch>
          <a:fillRect/>
        </a:stretch>
      </blipFill>
      <spPr>
        <a:prstGeom prst="rect"/>
      </spPr>
    </pic>
    <clientData/>
  </oneCellAnchor>
  <oneCellAnchor>
    <from>
      <col>0</col>
      <colOff>0</colOff>
      <row>7</row>
      <rowOff>0</rowOff>
    </from>
    <ext cx="914400" cy="685800"/>
    <pic>
      <nvPicPr>
        <cNvPr id="7" name="Image 7" descr="Picture"/>
        <cNvPicPr/>
      </nvPicPr>
      <blipFill>
        <a:blip cstate="print" r:embed="rId7"/>
        <a:stretch>
          <a:fillRect/>
        </a:stretch>
      </blipFill>
      <spPr>
        <a:prstGeom prst="rect"/>
      </spPr>
    </pic>
    <clientData/>
  </oneCellAnchor>
  <oneCellAnchor>
    <from>
      <col>0</col>
      <colOff>0</colOff>
      <row>8</row>
      <rowOff>0</rowOff>
    </from>
    <ext cx="914400" cy="685800"/>
    <pic>
      <nvPicPr>
        <cNvPr id="8" name="Image 8" descr="Picture"/>
        <cNvPicPr/>
      </nvPicPr>
      <blipFill>
        <a:blip cstate="print" r:embed="rId8"/>
        <a:stretch>
          <a:fillRect/>
        </a:stretch>
      </blipFill>
      <spPr>
        <a:prstGeom prst="rect"/>
      </spPr>
    </pic>
    <clientData/>
  </oneCellAnchor>
  <oneCellAnchor>
    <from>
      <col>0</col>
      <colOff>0</colOff>
      <row>9</row>
      <rowOff>0</rowOff>
    </from>
    <ext cx="914400" cy="685800"/>
    <pic>
      <nvPicPr>
        <cNvPr id="9" name="Image 9" descr="Picture"/>
        <cNvPicPr/>
      </nvPicPr>
      <blipFill>
        <a:blip cstate="print" r:embed="rId9"/>
        <a:stretch>
          <a:fillRect/>
        </a:stretch>
      </blipFill>
      <spPr>
        <a:prstGeom prst="rect"/>
      </spPr>
    </pic>
    <clientData/>
  </oneCellAnchor>
  <oneCellAnchor>
    <from>
      <col>0</col>
      <colOff>0</colOff>
      <row>10</row>
      <rowOff>0</rowOff>
    </from>
    <ext cx="914400" cy="685800"/>
    <pic>
      <nvPicPr>
        <cNvPr id="10" name="Image 10" descr="Picture"/>
        <cNvPicPr/>
      </nvPicPr>
      <blipFill>
        <a:blip cstate="print" r:embed="rId10"/>
        <a:stretch>
          <a:fillRect/>
        </a:stretch>
      </blipFill>
      <spPr>
        <a:prstGeom prst="rect"/>
      </spPr>
    </pic>
    <clientData/>
  </oneCellAnchor>
  <oneCellAnchor>
    <from>
      <col>0</col>
      <colOff>0</colOff>
      <row>11</row>
      <rowOff>0</rowOff>
    </from>
    <ext cx="914400" cy="685800"/>
    <pic>
      <nvPicPr>
        <cNvPr id="11" name="Image 11" descr="Picture"/>
        <cNvPicPr/>
      </nvPicPr>
      <blipFill>
        <a:blip cstate="print" r:embed="rId11"/>
        <a:stretch>
          <a:fillRect/>
        </a:stretch>
      </blipFill>
      <spPr>
        <a:prstGeom prst="rect"/>
      </spPr>
    </pic>
    <clientData/>
  </oneCellAnchor>
  <oneCellAnchor>
    <from>
      <col>0</col>
      <colOff>0</colOff>
      <row>12</row>
      <rowOff>0</rowOff>
    </from>
    <ext cx="914400" cy="685800"/>
    <pic>
      <nvPicPr>
        <cNvPr id="12" name="Image 12" descr="Picture"/>
        <cNvPicPr/>
      </nvPicPr>
      <blipFill>
        <a:blip cstate="print" r:embed="rId12"/>
        <a:stretch>
          <a:fillRect/>
        </a:stretch>
      </blipFill>
      <spPr>
        <a:prstGeom prst="rect"/>
      </spPr>
    </pic>
    <clientData/>
  </oneCellAnchor>
  <oneCellAnchor>
    <from>
      <col>0</col>
      <colOff>0</colOff>
      <row>13</row>
      <rowOff>0</rowOff>
    </from>
    <ext cx="914400" cy="685800"/>
    <pic>
      <nvPicPr>
        <cNvPr id="13" name="Image 13" descr="Picture"/>
        <cNvPicPr/>
      </nvPicPr>
      <blipFill>
        <a:blip cstate="print" r:embed="rId13"/>
        <a:stretch>
          <a:fillRect/>
        </a:stretch>
      </blipFill>
      <spPr>
        <a:prstGeom prst="rect"/>
      </spPr>
    </pic>
    <clientData/>
  </oneCellAnchor>
  <oneCellAnchor>
    <from>
      <col>0</col>
      <colOff>0</colOff>
      <row>14</row>
      <rowOff>0</rowOff>
    </from>
    <ext cx="914400" cy="685800"/>
    <pic>
      <nvPicPr>
        <cNvPr id="14" name="Image 14" descr="Picture"/>
        <cNvPicPr/>
      </nvPicPr>
      <blipFill>
        <a:blip cstate="print" r:embed="rId14"/>
        <a:stretch>
          <a:fillRect/>
        </a:stretch>
      </blipFill>
      <spPr>
        <a:prstGeom prst="rect"/>
      </spPr>
    </pic>
    <clientData/>
  </oneCellAnchor>
  <oneCellAnchor>
    <from>
      <col>0</col>
      <colOff>0</colOff>
      <row>15</row>
      <rowOff>0</rowOff>
    </from>
    <ext cx="914400" cy="685800"/>
    <pic>
      <nvPicPr>
        <cNvPr id="15" name="Image 15" descr="Picture"/>
        <cNvPicPr/>
      </nvPicPr>
      <blipFill>
        <a:blip cstate="print" r:embed="rId15"/>
        <a:stretch>
          <a:fillRect/>
        </a:stretch>
      </blipFill>
      <spPr>
        <a:prstGeom prst="rect"/>
      </spPr>
    </pic>
    <clientData/>
  </oneCellAnchor>
  <oneCellAnchor>
    <from>
      <col>0</col>
      <colOff>0</colOff>
      <row>16</row>
      <rowOff>0</rowOff>
    </from>
    <ext cx="914400" cy="685800"/>
    <pic>
      <nvPicPr>
        <cNvPr id="16" name="Image 16" descr="Picture"/>
        <cNvPicPr/>
      </nvPicPr>
      <blipFill>
        <a:blip cstate="print" r:embed="rId16"/>
        <a:stretch>
          <a:fillRect/>
        </a:stretch>
      </blipFill>
      <spPr>
        <a:prstGeom prst="rect"/>
      </spPr>
    </pic>
    <clientData/>
  </oneCellAnchor>
  <oneCellAnchor>
    <from>
      <col>0</col>
      <colOff>0</colOff>
      <row>17</row>
      <rowOff>0</rowOff>
    </from>
    <ext cx="914400" cy="685800"/>
    <pic>
      <nvPicPr>
        <cNvPr id="17" name="Image 17" descr="Picture"/>
        <cNvPicPr/>
      </nvPicPr>
      <blipFill>
        <a:blip cstate="print" r:embed="rId17"/>
        <a:stretch>
          <a:fillRect/>
        </a:stretch>
      </blipFill>
      <spPr>
        <a:prstGeom prst="rect"/>
      </spPr>
    </pic>
    <clientData/>
  </oneCellAnchor>
  <oneCellAnchor>
    <from>
      <col>0</col>
      <colOff>0</colOff>
      <row>18</row>
      <rowOff>0</rowOff>
    </from>
    <ext cx="914400" cy="685800"/>
    <pic>
      <nvPicPr>
        <cNvPr id="18" name="Image 18" descr="Picture"/>
        <cNvPicPr/>
      </nvPicPr>
      <blipFill>
        <a:blip cstate="print" r:embed="rId18"/>
        <a:stretch>
          <a:fillRect/>
        </a:stretch>
      </blipFill>
      <spPr>
        <a:prstGeom prst="rect"/>
      </spPr>
    </pic>
    <clientData/>
  </oneCellAnchor>
  <oneCellAnchor>
    <from>
      <col>0</col>
      <colOff>0</colOff>
      <row>19</row>
      <rowOff>0</rowOff>
    </from>
    <ext cx="914400" cy="685800"/>
    <pic>
      <nvPicPr>
        <cNvPr id="19" name="Image 19" descr="Picture"/>
        <cNvPicPr/>
      </nvPicPr>
      <blipFill>
        <a:blip cstate="print" r:embed="rId19"/>
        <a:stretch>
          <a:fillRect/>
        </a:stretch>
      </blipFill>
      <spPr>
        <a:prstGeom prst="rect"/>
      </spPr>
    </pic>
    <clientData/>
  </oneCellAnchor>
  <oneCellAnchor>
    <from>
      <col>0</col>
      <colOff>0</colOff>
      <row>20</row>
      <rowOff>0</rowOff>
    </from>
    <ext cx="914400" cy="685800"/>
    <pic>
      <nvPicPr>
        <cNvPr id="20" name="Image 20" descr="Picture"/>
        <cNvPicPr/>
      </nvPicPr>
      <blipFill>
        <a:blip cstate="print" r:embed="rId20"/>
        <a:stretch>
          <a:fillRect/>
        </a:stretch>
      </blipFill>
      <spPr>
        <a:prstGeom prst="rect"/>
      </spPr>
    </pic>
    <clientData/>
  </oneCellAnchor>
  <oneCellAnchor>
    <from>
      <col>0</col>
      <colOff>0</colOff>
      <row>21</row>
      <rowOff>0</rowOff>
    </from>
    <ext cx="914400" cy="685800"/>
    <pic>
      <nvPicPr>
        <cNvPr id="21" name="Image 21" descr="Picture"/>
        <cNvPicPr/>
      </nvPicPr>
      <blipFill>
        <a:blip cstate="print" r:embed="rId21"/>
        <a:stretch>
          <a:fillRect/>
        </a:stretch>
      </blipFill>
      <spPr>
        <a:prstGeom prst="rect"/>
      </spPr>
    </pic>
    <clientData/>
  </oneCellAnchor>
  <oneCellAnchor>
    <from>
      <col>0</col>
      <colOff>0</colOff>
      <row>22</row>
      <rowOff>0</rowOff>
    </from>
    <ext cx="914400" cy="685800"/>
    <pic>
      <nvPicPr>
        <cNvPr id="22" name="Image 22" descr="Picture"/>
        <cNvPicPr/>
      </nvPicPr>
      <blipFill>
        <a:blip cstate="print" r:embed="rId22"/>
        <a:stretch>
          <a:fillRect/>
        </a:stretch>
      </blipFill>
      <spPr>
        <a:prstGeom prst="rect"/>
      </spPr>
    </pic>
    <clientData/>
  </oneCellAnchor>
  <oneCellAnchor>
    <from>
      <col>0</col>
      <colOff>0</colOff>
      <row>23</row>
      <rowOff>0</rowOff>
    </from>
    <ext cx="914400" cy="685800"/>
    <pic>
      <nvPicPr>
        <cNvPr id="23" name="Image 23" descr="Picture"/>
        <cNvPicPr/>
      </nvPicPr>
      <blipFill>
        <a:blip cstate="print" r:embed="rId23"/>
        <a:stretch>
          <a:fillRect/>
        </a:stretch>
      </blipFill>
      <spPr>
        <a:prstGeom prst="rect"/>
      </spPr>
    </pic>
    <clientData/>
  </oneCellAnchor>
  <oneCellAnchor>
    <from>
      <col>0</col>
      <colOff>0</colOff>
      <row>24</row>
      <rowOff>0</rowOff>
    </from>
    <ext cx="914400" cy="685800"/>
    <pic>
      <nvPicPr>
        <cNvPr id="24" name="Image 24" descr="Picture"/>
        <cNvPicPr/>
      </nvPicPr>
      <blipFill>
        <a:blip cstate="print" r:embed="rId24"/>
        <a:stretch>
          <a:fillRect/>
        </a:stretch>
      </blipFill>
      <spPr>
        <a:prstGeom prst="rect"/>
      </spPr>
    </pic>
    <clientData/>
  </oneCellAnchor>
  <oneCellAnchor>
    <from>
      <col>0</col>
      <colOff>0</colOff>
      <row>25</row>
      <rowOff>0</rowOff>
    </from>
    <ext cx="914400" cy="685800"/>
    <pic>
      <nvPicPr>
        <cNvPr id="25" name="Image 25" descr="Picture"/>
        <cNvPicPr/>
      </nvPicPr>
      <blipFill>
        <a:blip cstate="print" r:embed="rId25"/>
        <a:stretch>
          <a:fillRect/>
        </a:stretch>
      </blipFill>
      <spPr>
        <a:prstGeom prst="rect"/>
      </spPr>
    </pic>
    <clientData/>
  </oneCellAnchor>
  <oneCellAnchor>
    <from>
      <col>0</col>
      <colOff>0</colOff>
      <row>26</row>
      <rowOff>0</rowOff>
    </from>
    <ext cx="914400" cy="685800"/>
    <pic>
      <nvPicPr>
        <cNvPr id="26" name="Image 26" descr="Picture"/>
        <cNvPicPr/>
      </nvPicPr>
      <blipFill>
        <a:blip cstate="print" r:embed="rId26"/>
        <a:stretch>
          <a:fillRect/>
        </a:stretch>
      </blipFill>
      <spPr>
        <a:prstGeom prst="rect"/>
      </spPr>
    </pic>
    <clientData/>
  </oneCellAnchor>
  <oneCellAnchor>
    <from>
      <col>0</col>
      <colOff>0</colOff>
      <row>27</row>
      <rowOff>0</rowOff>
    </from>
    <ext cx="914400" cy="685800"/>
    <pic>
      <nvPicPr>
        <cNvPr id="27" name="Image 27" descr="Picture"/>
        <cNvPicPr/>
      </nvPicPr>
      <blipFill>
        <a:blip cstate="print" r:embed="rId27"/>
        <a:stretch>
          <a:fillRect/>
        </a:stretch>
      </blipFill>
      <spPr>
        <a:prstGeom prst="rect"/>
      </spPr>
    </pic>
    <clientData/>
  </oneCellAnchor>
  <oneCellAnchor>
    <from>
      <col>0</col>
      <colOff>0</colOff>
      <row>28</row>
      <rowOff>0</rowOff>
    </from>
    <ext cx="914400" cy="685800"/>
    <pic>
      <nvPicPr>
        <cNvPr id="28" name="Image 28" descr="Picture"/>
        <cNvPicPr/>
      </nvPicPr>
      <blipFill>
        <a:blip cstate="print" r:embed="rId28"/>
        <a:stretch>
          <a:fillRect/>
        </a:stretch>
      </blipFill>
      <spPr>
        <a:prstGeom prst="rect"/>
      </spPr>
    </pic>
    <clientData/>
  </oneCellAnchor>
  <oneCellAnchor>
    <from>
      <col>0</col>
      <colOff>0</colOff>
      <row>29</row>
      <rowOff>0</rowOff>
    </from>
    <ext cx="914400" cy="685800"/>
    <pic>
      <nvPicPr>
        <cNvPr id="29" name="Image 29" descr="Picture"/>
        <cNvPicPr/>
      </nvPicPr>
      <blipFill>
        <a:blip cstate="print" r:embed="rId29"/>
        <a:stretch>
          <a:fillRect/>
        </a:stretch>
      </blipFill>
      <spPr>
        <a:prstGeom prst="rect"/>
      </spPr>
    </pic>
    <clientData/>
  </oneCellAnchor>
  <oneCellAnchor>
    <from>
      <col>0</col>
      <colOff>0</colOff>
      <row>30</row>
      <rowOff>0</rowOff>
    </from>
    <ext cx="914400" cy="685800"/>
    <pic>
      <nvPicPr>
        <cNvPr id="30" name="Image 30" descr="Picture"/>
        <cNvPicPr/>
      </nvPicPr>
      <blipFill>
        <a:blip cstate="print" r:embed="rId30"/>
        <a:stretch>
          <a:fillRect/>
        </a:stretch>
      </blipFill>
      <spPr>
        <a:prstGeom prst="rect"/>
      </spPr>
    </pic>
    <clientData/>
  </oneCellAnchor>
  <oneCellAnchor>
    <from>
      <col>0</col>
      <colOff>0</colOff>
      <row>31</row>
      <rowOff>0</rowOff>
    </from>
    <ext cx="914400" cy="685800"/>
    <pic>
      <nvPicPr>
        <cNvPr id="31" name="Image 31" descr="Picture"/>
        <cNvPicPr/>
      </nvPicPr>
      <blipFill>
        <a:blip cstate="print" r:embed="rId31"/>
        <a:stretch>
          <a:fillRect/>
        </a:stretch>
      </blipFill>
      <spPr>
        <a:prstGeom prst="rect"/>
      </spPr>
    </pic>
    <clientData/>
  </oneCellAnchor>
  <oneCellAnchor>
    <from>
      <col>0</col>
      <colOff>0</colOff>
      <row>32</row>
      <rowOff>0</rowOff>
    </from>
    <ext cx="914400" cy="685800"/>
    <pic>
      <nvPicPr>
        <cNvPr id="32" name="Image 32" descr="Picture"/>
        <cNvPicPr/>
      </nvPicPr>
      <blipFill>
        <a:blip cstate="print" r:embed="rId32"/>
        <a:stretch>
          <a:fillRect/>
        </a:stretch>
      </blipFill>
      <spPr>
        <a:prstGeom prst="rect"/>
      </spPr>
    </pic>
    <clientData/>
  </oneCellAnchor>
  <oneCellAnchor>
    <from>
      <col>0</col>
      <colOff>0</colOff>
      <row>33</row>
      <rowOff>0</rowOff>
    </from>
    <ext cx="914400" cy="685800"/>
    <pic>
      <nvPicPr>
        <cNvPr id="33" name="Image 33" descr="Picture"/>
        <cNvPicPr/>
      </nvPicPr>
      <blipFill>
        <a:blip cstate="print" r:embed="rId33"/>
        <a:stretch>
          <a:fillRect/>
        </a:stretch>
      </blipFill>
      <spPr>
        <a:prstGeom prst="rect"/>
      </spPr>
    </pic>
    <clientData/>
  </oneCellAnchor>
  <oneCellAnchor>
    <from>
      <col>0</col>
      <colOff>0</colOff>
      <row>34</row>
      <rowOff>0</rowOff>
    </from>
    <ext cx="914400" cy="685800"/>
    <pic>
      <nvPicPr>
        <cNvPr id="34" name="Image 34" descr="Picture"/>
        <cNvPicPr/>
      </nvPicPr>
      <blipFill>
        <a:blip cstate="print" r:embed="rId34"/>
        <a:stretch>
          <a:fillRect/>
        </a:stretch>
      </blipFill>
      <spPr>
        <a:prstGeom prst="rect"/>
      </spPr>
    </pic>
    <clientData/>
  </oneCellAnchor>
  <oneCellAnchor>
    <from>
      <col>0</col>
      <colOff>0</colOff>
      <row>35</row>
      <rowOff>0</rowOff>
    </from>
    <ext cx="914400" cy="685800"/>
    <pic>
      <nvPicPr>
        <cNvPr id="35" name="Image 35" descr="Picture"/>
        <cNvPicPr/>
      </nvPicPr>
      <blipFill>
        <a:blip cstate="print" r:embed="rId35"/>
        <a:stretch>
          <a:fillRect/>
        </a:stretch>
      </blipFill>
      <spPr>
        <a:prstGeom prst="rect"/>
      </spPr>
    </pic>
    <clientData/>
  </oneCellAnchor>
  <oneCellAnchor>
    <from>
      <col>0</col>
      <colOff>0</colOff>
      <row>36</row>
      <rowOff>0</rowOff>
    </from>
    <ext cx="914400" cy="685800"/>
    <pic>
      <nvPicPr>
        <cNvPr id="36" name="Image 36" descr="Picture"/>
        <cNvPicPr/>
      </nvPicPr>
      <blipFill>
        <a:blip cstate="print" r:embed="rId36"/>
        <a:stretch>
          <a:fillRect/>
        </a:stretch>
      </blipFill>
      <spPr>
        <a:prstGeom prst="rect"/>
      </spPr>
    </pic>
    <clientData/>
  </oneCellAnchor>
  <oneCellAnchor>
    <from>
      <col>0</col>
      <colOff>0</colOff>
      <row>37</row>
      <rowOff>0</rowOff>
    </from>
    <ext cx="914400" cy="685800"/>
    <pic>
      <nvPicPr>
        <cNvPr id="37" name="Image 37" descr="Picture"/>
        <cNvPicPr/>
      </nvPicPr>
      <blipFill>
        <a:blip cstate="print" r:embed="rId37"/>
        <a:stretch>
          <a:fillRect/>
        </a:stretch>
      </blipFill>
      <spPr>
        <a:prstGeom prst="rect"/>
      </spPr>
    </pic>
    <clientData/>
  </oneCellAnchor>
  <oneCellAnchor>
    <from>
      <col>0</col>
      <colOff>0</colOff>
      <row>38</row>
      <rowOff>0</rowOff>
    </from>
    <ext cx="914400" cy="685800"/>
    <pic>
      <nvPicPr>
        <cNvPr id="38" name="Image 38" descr="Picture"/>
        <cNvPicPr/>
      </nvPicPr>
      <blipFill>
        <a:blip cstate="print" r:embed="rId38"/>
        <a:stretch>
          <a:fillRect/>
        </a:stretch>
      </blipFill>
      <spPr>
        <a:prstGeom prst="rect"/>
      </spPr>
    </pic>
    <clientData/>
  </oneCellAnchor>
  <oneCellAnchor>
    <from>
      <col>0</col>
      <colOff>0</colOff>
      <row>39</row>
      <rowOff>0</rowOff>
    </from>
    <ext cx="914400" cy="685800"/>
    <pic>
      <nvPicPr>
        <cNvPr id="39" name="Image 39" descr="Picture"/>
        <cNvPicPr/>
      </nvPicPr>
      <blipFill>
        <a:blip cstate="print" r:embed="rId39"/>
        <a:stretch>
          <a:fillRect/>
        </a:stretch>
      </blipFill>
      <spPr>
        <a:prstGeom prst="rect"/>
      </spPr>
    </pic>
    <clientData/>
  </oneCellAnchor>
  <oneCellAnchor>
    <from>
      <col>0</col>
      <colOff>0</colOff>
      <row>40</row>
      <rowOff>0</rowOff>
    </from>
    <ext cx="914400" cy="685800"/>
    <pic>
      <nvPicPr>
        <cNvPr id="40" name="Image 40" descr="Picture"/>
        <cNvPicPr/>
      </nvPicPr>
      <blipFill>
        <a:blip cstate="print" r:embed="rId40"/>
        <a:stretch>
          <a:fillRect/>
        </a:stretch>
      </blipFill>
      <spPr>
        <a:prstGeom prst="rect"/>
      </spPr>
    </pic>
    <clientData/>
  </oneCellAnchor>
  <oneCellAnchor>
    <from>
      <col>0</col>
      <colOff>0</colOff>
      <row>41</row>
      <rowOff>0</rowOff>
    </from>
    <ext cx="914400" cy="685800"/>
    <pic>
      <nvPicPr>
        <cNvPr id="41" name="Image 41" descr="Picture"/>
        <cNvPicPr/>
      </nvPicPr>
      <blipFill>
        <a:blip cstate="print" r:embed="rId41"/>
        <a:stretch>
          <a:fillRect/>
        </a:stretch>
      </blipFill>
      <spPr>
        <a:prstGeom prst="rect"/>
      </spPr>
    </pic>
    <clientData/>
  </oneCellAnchor>
  <oneCellAnchor>
    <from>
      <col>0</col>
      <colOff>0</colOff>
      <row>42</row>
      <rowOff>0</rowOff>
    </from>
    <ext cx="914400" cy="685800"/>
    <pic>
      <nvPicPr>
        <cNvPr id="42" name="Image 42" descr="Picture"/>
        <cNvPicPr/>
      </nvPicPr>
      <blipFill>
        <a:blip cstate="print" r:embed="rId42"/>
        <a:stretch>
          <a:fillRect/>
        </a:stretch>
      </blipFill>
      <spPr>
        <a:prstGeom prst="rect"/>
      </spPr>
    </pic>
    <clientData/>
  </oneCellAnchor>
  <oneCellAnchor>
    <from>
      <col>0</col>
      <colOff>0</colOff>
      <row>43</row>
      <rowOff>0</rowOff>
    </from>
    <ext cx="914400" cy="685800"/>
    <pic>
      <nvPicPr>
        <cNvPr id="43" name="Image 43" descr="Picture"/>
        <cNvPicPr/>
      </nvPicPr>
      <blipFill>
        <a:blip cstate="print" r:embed="rId43"/>
        <a:stretch>
          <a:fillRect/>
        </a:stretch>
      </blipFill>
      <spPr>
        <a:prstGeom prst="rect"/>
      </spPr>
    </pic>
    <clientData/>
  </oneCellAnchor>
  <oneCellAnchor>
    <from>
      <col>0</col>
      <colOff>0</colOff>
      <row>44</row>
      <rowOff>0</rowOff>
    </from>
    <ext cx="914400" cy="685800"/>
    <pic>
      <nvPicPr>
        <cNvPr id="44" name="Image 44" descr="Picture"/>
        <cNvPicPr/>
      </nvPicPr>
      <blipFill>
        <a:blip cstate="print" r:embed="rId44"/>
        <a:stretch>
          <a:fillRect/>
        </a:stretch>
      </blipFill>
      <spPr>
        <a:prstGeom prst="rect"/>
      </spPr>
    </pic>
    <clientData/>
  </oneCellAnchor>
  <oneCellAnchor>
    <from>
      <col>0</col>
      <colOff>0</colOff>
      <row>45</row>
      <rowOff>0</rowOff>
    </from>
    <ext cx="914400" cy="685800"/>
    <pic>
      <nvPicPr>
        <cNvPr id="45" name="Image 45" descr="Picture"/>
        <cNvPicPr/>
      </nvPicPr>
      <blipFill>
        <a:blip cstate="print" r:embed="rId45"/>
        <a:stretch>
          <a:fillRect/>
        </a:stretch>
      </blipFill>
      <spPr>
        <a:prstGeom prst="rect"/>
      </spPr>
    </pic>
    <clientData/>
  </oneCellAnchor>
  <oneCellAnchor>
    <from>
      <col>0</col>
      <colOff>0</colOff>
      <row>46</row>
      <rowOff>0</rowOff>
    </from>
    <ext cx="914400" cy="685800"/>
    <pic>
      <nvPicPr>
        <cNvPr id="46" name="Image 46" descr="Picture"/>
        <cNvPicPr/>
      </nvPicPr>
      <blipFill>
        <a:blip cstate="print" r:embed="rId46"/>
        <a:stretch>
          <a:fillRect/>
        </a:stretch>
      </blipFill>
      <spPr>
        <a:prstGeom prst="rect"/>
      </spPr>
    </pic>
    <clientData/>
  </oneCellAnchor>
  <oneCellAnchor>
    <from>
      <col>0</col>
      <colOff>0</colOff>
      <row>47</row>
      <rowOff>0</rowOff>
    </from>
    <ext cx="914400" cy="685800"/>
    <pic>
      <nvPicPr>
        <cNvPr id="47" name="Image 47" descr="Picture"/>
        <cNvPicPr/>
      </nvPicPr>
      <blipFill>
        <a:blip cstate="print" r:embed="rId47"/>
        <a:stretch>
          <a:fillRect/>
        </a:stretch>
      </blipFill>
      <spPr>
        <a:prstGeom prst="rect"/>
      </spPr>
    </pic>
    <clientData/>
  </oneCellAnchor>
  <oneCellAnchor>
    <from>
      <col>0</col>
      <colOff>0</colOff>
      <row>48</row>
      <rowOff>0</rowOff>
    </from>
    <ext cx="914400" cy="685800"/>
    <pic>
      <nvPicPr>
        <cNvPr id="48" name="Image 48" descr="Picture"/>
        <cNvPicPr/>
      </nvPicPr>
      <blipFill>
        <a:blip cstate="print" r:embed="rId48"/>
        <a:stretch>
          <a:fillRect/>
        </a:stretch>
      </blipFill>
      <spPr>
        <a:prstGeom prst="rect"/>
      </spPr>
    </pic>
    <clientData/>
  </oneCellAnchor>
  <oneCellAnchor>
    <from>
      <col>0</col>
      <colOff>0</colOff>
      <row>49</row>
      <rowOff>0</rowOff>
    </from>
    <ext cx="914400" cy="685800"/>
    <pic>
      <nvPicPr>
        <cNvPr id="49" name="Image 49" descr="Picture"/>
        <cNvPicPr/>
      </nvPicPr>
      <blipFill>
        <a:blip cstate="print" r:embed="rId49"/>
        <a:stretch>
          <a:fillRect/>
        </a:stretch>
      </blipFill>
      <spPr>
        <a:prstGeom prst="rect"/>
      </spPr>
    </pic>
    <clientData/>
  </oneCellAnchor>
  <oneCellAnchor>
    <from>
      <col>0</col>
      <colOff>0</colOff>
      <row>50</row>
      <rowOff>0</rowOff>
    </from>
    <ext cx="914400" cy="685800"/>
    <pic>
      <nvPicPr>
        <cNvPr id="50" name="Image 50" descr="Picture"/>
        <cNvPicPr/>
      </nvPicPr>
      <blipFill>
        <a:blip cstate="print" r:embed="rId5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D20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3" customWidth="1" min="1" max="1"/>
    <col width="16" customWidth="1" min="2" max="2"/>
    <col width="13" customWidth="1" min="3" max="3"/>
    <col width="34" customWidth="1" min="4" max="4"/>
    <col width="14" customWidth="1" min="5" max="5"/>
    <col width="16" customWidth="1" min="6" max="6"/>
    <col width="18" customWidth="1" min="7" max="7"/>
    <col width="12" customWidth="1" min="8" max="8"/>
    <col width="11" customWidth="1" min="9" max="9"/>
    <col width="9" customWidth="1" min="10" max="10"/>
    <col width="13" customWidth="1" min="11" max="11"/>
    <col width="13" customWidth="1" min="12" max="12"/>
    <col width="11" customWidth="1" min="13" max="13"/>
    <col width="9" customWidth="1" min="14" max="14"/>
    <col width="9" customWidth="1" min="15" max="15"/>
    <col width="10" customWidth="1" min="16" max="16"/>
    <col width="9" customWidth="1" min="17" max="17"/>
    <col width="9" customWidth="1" min="18" max="18"/>
    <col width="13" customWidth="1" min="19" max="19"/>
    <col width="11" customWidth="1" min="20" max="20"/>
    <col width="9" customWidth="1" min="21" max="21"/>
    <col width="12" customWidth="1" min="22" max="22"/>
    <col width="16" customWidth="1" min="23" max="23"/>
    <col width="40" customWidth="1" min="24" max="24"/>
    <col width="13" customWidth="1" min="25" max="25"/>
    <col width="10" customWidth="1" min="26" max="26"/>
    <col width="12" customWidth="1" min="27" max="27"/>
    <col width="11" customWidth="1" min="28" max="28"/>
    <col width="60" customWidth="1" min="29" max="29"/>
    <col width="40" customWidth="1" min="30" max="30"/>
  </cols>
  <sheetData>
    <row r="1" ht="28" customHeight="1">
      <c r="A1" s="1" t="inlineStr">
        <is>
          <t>Photo</t>
        </is>
      </c>
      <c r="B1" s="1" t="inlineStr">
        <is>
          <t>Product ID</t>
        </is>
      </c>
      <c r="C1" s="1" t="inlineStr">
        <is>
          <t>Supplier Code</t>
        </is>
      </c>
      <c r="D1" s="1" t="inlineStr">
        <is>
          <t>Product Name</t>
        </is>
      </c>
      <c r="E1" s="1" t="inlineStr">
        <is>
          <t>Brand</t>
        </is>
      </c>
      <c r="F1" s="1" t="inlineStr">
        <is>
          <t>Master Category</t>
        </is>
      </c>
      <c r="G1" s="1" t="inlineStr">
        <is>
          <t>Sub Category / Design</t>
        </is>
      </c>
      <c r="H1" s="1" t="inlineStr">
        <is>
          <t>Material</t>
        </is>
      </c>
      <c r="I1" s="1" t="inlineStr">
        <is>
          <t>Unit Type</t>
        </is>
      </c>
      <c r="J1" s="1" t="inlineStr">
        <is>
          <t>Bundle (m)</t>
        </is>
      </c>
      <c r="K1" s="1" t="inlineStr">
        <is>
          <t>Buying Price (₹)</t>
        </is>
      </c>
      <c r="L1" s="1" t="inlineStr">
        <is>
          <t>Selling Price (₹)</t>
        </is>
      </c>
      <c r="M1" s="1" t="inlineStr">
        <is>
          <t>MRP (₹)</t>
        </is>
      </c>
      <c r="N1" s="1" t="inlineStr">
        <is>
          <t>Margin %</t>
        </is>
      </c>
      <c r="O1" s="1" t="inlineStr">
        <is>
          <t>GST Rate</t>
        </is>
      </c>
      <c r="P1" s="1" t="inlineStr">
        <is>
          <t>HSN Code</t>
        </is>
      </c>
      <c r="Q1" s="1" t="inlineStr">
        <is>
          <t>Stock Qty</t>
        </is>
      </c>
      <c r="R1" s="1" t="inlineStr">
        <is>
          <t>Reorder Lvl</t>
        </is>
      </c>
      <c r="S1" s="1" t="inlineStr">
        <is>
          <t>Stock Status</t>
        </is>
      </c>
      <c r="T1" s="1" t="inlineStr">
        <is>
          <t>Stock per Log</t>
        </is>
      </c>
      <c r="U1" s="1" t="inlineStr">
        <is>
          <t>Log Match</t>
        </is>
      </c>
      <c r="V1" s="1" t="inlineStr">
        <is>
          <t>First Received</t>
        </is>
      </c>
      <c r="W1" s="1" t="inlineStr">
        <is>
          <t>Supplier</t>
        </is>
      </c>
      <c r="X1" s="1" t="inlineStr">
        <is>
          <t>Image URL</t>
        </is>
      </c>
      <c r="Y1" s="1" t="inlineStr">
        <is>
          <t>Photo Quality</t>
        </is>
      </c>
      <c r="Z1" s="1" t="inlineStr">
        <is>
          <t>Live on Site</t>
        </is>
      </c>
      <c r="AA1" s="1" t="inlineStr">
        <is>
          <t>Listing Status</t>
        </is>
      </c>
      <c r="AB1" s="1" t="inlineStr">
        <is>
          <t>Sticker</t>
        </is>
      </c>
      <c r="AC1" s="1" t="inlineStr">
        <is>
          <t>Description</t>
        </is>
      </c>
      <c r="AD1" s="1" t="inlineStr">
        <is>
          <t>Notes</t>
        </is>
      </c>
    </row>
    <row r="2" ht="56" customHeight="1">
      <c r="A2" s="2" t="n"/>
      <c r="B2" s="2" t="inlineStr">
        <is>
          <t>NE1386</t>
        </is>
      </c>
      <c r="C2" s="2" t="inlineStr">
        <is>
          <t>NE1386</t>
        </is>
      </c>
      <c r="D2" s="2" t="inlineStr">
        <is>
          <t>Midnight Beaded Neckline Appliqué</t>
        </is>
      </c>
      <c r="E2" s="2" t="inlineStr">
        <is>
          <t>TRESOR</t>
        </is>
      </c>
      <c r="F2" s="2" t="inlineStr">
        <is>
          <t>Laces</t>
        </is>
      </c>
      <c r="G2" s="2" t="inlineStr">
        <is>
          <t>Patch</t>
        </is>
      </c>
      <c r="H2" s="2" t="inlineStr">
        <is>
          <t>Mixed</t>
        </is>
      </c>
      <c r="I2" s="2" t="inlineStr">
        <is>
          <t>bundle</t>
        </is>
      </c>
      <c r="J2" s="2" t="n"/>
      <c r="K2" s="3" t="n">
        <v>700</v>
      </c>
      <c r="L2" s="4" t="n">
        <v>1200</v>
      </c>
      <c r="M2" s="4" t="n">
        <v>1200</v>
      </c>
      <c r="N2" s="5">
        <f>IF(OR(K2="",L2=""),"",(L2-K2)/L2)</f>
        <v/>
      </c>
      <c r="O2" s="6" t="n">
        <v>0.05</v>
      </c>
      <c r="P2" s="2" t="n"/>
      <c r="Q2" s="2" t="n">
        <v>1</v>
      </c>
      <c r="R2" s="2" t="n">
        <v>1</v>
      </c>
      <c r="S2" s="2">
        <f>IF(Q2="","",IF(Q2&lt;=0,"OUT OF STOCK",IF(Q2&lt;=R2,"REORDER","OK")))</f>
        <v/>
      </c>
      <c r="T2" s="2">
        <f>IF(B2="","",SUMIFS('Stock Log'!$D$2:$D$600,'Stock Log'!$B$2:$B$600,B2))</f>
        <v/>
      </c>
      <c r="U2" s="2">
        <f>IF(B2="","",IF(T2=Q2,"OK","CHECK"))</f>
        <v/>
      </c>
      <c r="V2" s="7" t="inlineStr">
        <is>
          <t>2026-07-09</t>
        </is>
      </c>
      <c r="W2" s="2" t="inlineStr">
        <is>
          <t>Supplier A (rename me)</t>
        </is>
      </c>
      <c r="X2" s="2" t="inlineStr">
        <is>
          <t>https://tresorcouture.in/products/lace/NE1386.jpg</t>
        </is>
      </c>
      <c r="Y2" s="2" t="inlineStr">
        <is>
          <t>Studio</t>
        </is>
      </c>
      <c r="Z2" s="2" t="inlineStr">
        <is>
          <t>Yes</t>
        </is>
      </c>
      <c r="AA2" s="2" t="inlineStr">
        <is>
          <t>Active</t>
        </is>
      </c>
      <c r="AB2" s="2" t="n"/>
      <c r="AC2" s="8" t="inlineStr">
        <is>
          <t>A curved neckline appliqué worked entirely in black — beaded florals, sequin petals and corded scrolls on fine net, edged with picot beading. Stitch it to a blouse or gown neckline for instant couture depth. Sold per piece.</t>
        </is>
      </c>
      <c r="AD2" s="8" t="n"/>
    </row>
    <row r="3" ht="56" customHeight="1">
      <c r="A3" s="2" t="n"/>
      <c r="B3" s="2" t="inlineStr">
        <is>
          <t>NE1386-S31</t>
        </is>
      </c>
      <c r="C3" s="2" t="inlineStr">
        <is>
          <t>NE1386-S31</t>
        </is>
      </c>
      <c r="D3" s="2" t="inlineStr">
        <is>
          <t>Orchid &amp; Sage Beaded Neckline Appliqué</t>
        </is>
      </c>
      <c r="E3" s="2" t="inlineStr">
        <is>
          <t>TRESOR</t>
        </is>
      </c>
      <c r="F3" s="2" t="inlineStr">
        <is>
          <t>Laces</t>
        </is>
      </c>
      <c r="G3" s="2" t="inlineStr">
        <is>
          <t>Patch</t>
        </is>
      </c>
      <c r="H3" s="2" t="inlineStr">
        <is>
          <t>Mixed</t>
        </is>
      </c>
      <c r="I3" s="2" t="inlineStr">
        <is>
          <t>bundle</t>
        </is>
      </c>
      <c r="J3" s="2" t="n"/>
      <c r="K3" s="3" t="n">
        <v>700</v>
      </c>
      <c r="L3" s="4" t="n">
        <v>1200</v>
      </c>
      <c r="M3" s="4" t="n">
        <v>1200</v>
      </c>
      <c r="N3" s="5">
        <f>IF(OR(K3="",L3=""),"",(L3-K3)/L3)</f>
        <v/>
      </c>
      <c r="O3" s="6" t="n">
        <v>0.05</v>
      </c>
      <c r="P3" s="2" t="n"/>
      <c r="Q3" s="2" t="n">
        <v>1</v>
      </c>
      <c r="R3" s="2" t="n">
        <v>1</v>
      </c>
      <c r="S3" s="2">
        <f>IF(Q3="","",IF(Q3&lt;=0,"OUT OF STOCK",IF(Q3&lt;=R3,"REORDER","OK")))</f>
        <v/>
      </c>
      <c r="T3" s="2">
        <f>IF(B3="","",SUMIFS('Stock Log'!$D$2:$D$600,'Stock Log'!$B$2:$B$600,B3))</f>
        <v/>
      </c>
      <c r="U3" s="2">
        <f>IF(B3="","",IF(T3=Q3,"OK","CHECK"))</f>
        <v/>
      </c>
      <c r="V3" s="7" t="inlineStr">
        <is>
          <t>2026-07-09</t>
        </is>
      </c>
      <c r="W3" s="2" t="inlineStr">
        <is>
          <t>Supplier A (rename me)</t>
        </is>
      </c>
      <c r="X3" s="2" t="inlineStr">
        <is>
          <t>https://tresorcouture.in/products/lace/NE1386-S31.jpg</t>
        </is>
      </c>
      <c r="Y3" s="2" t="inlineStr">
        <is>
          <t>Studio</t>
        </is>
      </c>
      <c r="Z3" s="2" t="inlineStr">
        <is>
          <t>Yes</t>
        </is>
      </c>
      <c r="AA3" s="2" t="inlineStr">
        <is>
          <t>Active</t>
        </is>
      </c>
      <c r="AB3" s="2" t="n"/>
      <c r="AC3" s="8" t="inlineStr">
        <is>
          <t>A V-neckline appliqué in orchid pink and sage: velvet petals, pearl flower hearts, silver bead scrolls and sequin blossoms on grey net, with pearl drops along the outline. Sold per piece.</t>
        </is>
      </c>
      <c r="AD3" s="8" t="n"/>
    </row>
    <row r="4" ht="56" customHeight="1">
      <c r="A4" s="2" t="n"/>
      <c r="B4" s="2" t="inlineStr">
        <is>
          <t>NE1386-S32</t>
        </is>
      </c>
      <c r="C4" s="2" t="inlineStr">
        <is>
          <t>NE1386-S32</t>
        </is>
      </c>
      <c r="D4" s="2" t="inlineStr">
        <is>
          <t>Plum Vine Beaded Neckline Appliqué</t>
        </is>
      </c>
      <c r="E4" s="2" t="inlineStr">
        <is>
          <t>TRESOR</t>
        </is>
      </c>
      <c r="F4" s="2" t="inlineStr">
        <is>
          <t>Laces</t>
        </is>
      </c>
      <c r="G4" s="2" t="inlineStr">
        <is>
          <t>Patch</t>
        </is>
      </c>
      <c r="H4" s="2" t="inlineStr">
        <is>
          <t>Mixed</t>
        </is>
      </c>
      <c r="I4" s="2" t="inlineStr">
        <is>
          <t>bundle</t>
        </is>
      </c>
      <c r="J4" s="2" t="n"/>
      <c r="K4" s="3" t="n">
        <v>700</v>
      </c>
      <c r="L4" s="4" t="n">
        <v>1200</v>
      </c>
      <c r="M4" s="4" t="n">
        <v>1200</v>
      </c>
      <c r="N4" s="5">
        <f>IF(OR(K4="",L4=""),"",(L4-K4)/L4)</f>
        <v/>
      </c>
      <c r="O4" s="6" t="n">
        <v>0.05</v>
      </c>
      <c r="P4" s="2" t="n"/>
      <c r="Q4" s="2" t="n">
        <v>1</v>
      </c>
      <c r="R4" s="2" t="n">
        <v>1</v>
      </c>
      <c r="S4" s="2">
        <f>IF(Q4="","",IF(Q4&lt;=0,"OUT OF STOCK",IF(Q4&lt;=R4,"REORDER","OK")))</f>
        <v/>
      </c>
      <c r="T4" s="2">
        <f>IF(B4="","",SUMIFS('Stock Log'!$D$2:$D$600,'Stock Log'!$B$2:$B$600,B4))</f>
        <v/>
      </c>
      <c r="U4" s="2">
        <f>IF(B4="","",IF(T4=Q4,"OK","CHECK"))</f>
        <v/>
      </c>
      <c r="V4" s="7" t="inlineStr">
        <is>
          <t>2026-07-09</t>
        </is>
      </c>
      <c r="W4" s="2" t="inlineStr">
        <is>
          <t>Supplier A (rename me)</t>
        </is>
      </c>
      <c r="X4" s="2" t="inlineStr">
        <is>
          <t>https://tresorcouture.in/products/lace/NE1386-S32.jpg</t>
        </is>
      </c>
      <c r="Y4" s="2" t="inlineStr">
        <is>
          <t>Studio</t>
        </is>
      </c>
      <c r="Z4" s="2" t="inlineStr">
        <is>
          <t>Yes</t>
        </is>
      </c>
      <c r="AA4" s="2" t="inlineStr">
        <is>
          <t>Active</t>
        </is>
      </c>
      <c r="AB4" s="2" t="n"/>
      <c r="AC4" s="8" t="inlineStr">
        <is>
          <t>Plum and mauve ribbon-work blossoms wind through silver-beaded scrolls and sage leaves on black net, edged in pearl picots — a deeper, moodier take on the beaded neckline. Sold per piece.</t>
        </is>
      </c>
      <c r="AD4" s="8" t="n"/>
    </row>
    <row r="5" ht="56" customHeight="1">
      <c r="A5" s="2" t="n"/>
      <c r="B5" s="2" t="inlineStr">
        <is>
          <t>NE1386-S33</t>
        </is>
      </c>
      <c r="C5" s="2" t="inlineStr">
        <is>
          <t>NE1386-S33</t>
        </is>
      </c>
      <c r="D5" s="2" t="inlineStr">
        <is>
          <t>Pastel Confetti Beaded Neckline Appliqué</t>
        </is>
      </c>
      <c r="E5" s="2" t="inlineStr">
        <is>
          <t>TRESOR</t>
        </is>
      </c>
      <c r="F5" s="2" t="inlineStr">
        <is>
          <t>Laces</t>
        </is>
      </c>
      <c r="G5" s="2" t="inlineStr">
        <is>
          <t>Patch</t>
        </is>
      </c>
      <c r="H5" s="2" t="inlineStr">
        <is>
          <t>Mixed</t>
        </is>
      </c>
      <c r="I5" s="2" t="inlineStr">
        <is>
          <t>bundle</t>
        </is>
      </c>
      <c r="J5" s="2" t="n"/>
      <c r="K5" s="3" t="n">
        <v>700</v>
      </c>
      <c r="L5" s="4" t="n">
        <v>1200</v>
      </c>
      <c r="M5" s="4" t="n">
        <v>1200</v>
      </c>
      <c r="N5" s="5">
        <f>IF(OR(K5="",L5=""),"",(L5-K5)/L5)</f>
        <v/>
      </c>
      <c r="O5" s="6" t="n">
        <v>0.05</v>
      </c>
      <c r="P5" s="2" t="n"/>
      <c r="Q5" s="2" t="n">
        <v>1</v>
      </c>
      <c r="R5" s="2" t="n">
        <v>1</v>
      </c>
      <c r="S5" s="2">
        <f>IF(Q5="","",IF(Q5&lt;=0,"OUT OF STOCK",IF(Q5&lt;=R5,"REORDER","OK")))</f>
        <v/>
      </c>
      <c r="T5" s="2">
        <f>IF(B5="","",SUMIFS('Stock Log'!$D$2:$D$600,'Stock Log'!$B$2:$B$600,B5))</f>
        <v/>
      </c>
      <c r="U5" s="2">
        <f>IF(B5="","",IF(T5=Q5,"OK","CHECK"))</f>
        <v/>
      </c>
      <c r="V5" s="7" t="inlineStr">
        <is>
          <t>2026-07-09</t>
        </is>
      </c>
      <c r="W5" s="2" t="inlineStr">
        <is>
          <t>Supplier A (rename me)</t>
        </is>
      </c>
      <c r="X5" s="2" t="inlineStr">
        <is>
          <t>https://tresorcouture.in/products/lace/NE1386-S33.jpg</t>
        </is>
      </c>
      <c r="Y5" s="2" t="inlineStr">
        <is>
          <t>Studio</t>
        </is>
      </c>
      <c r="Z5" s="2" t="inlineStr">
        <is>
          <t>Yes</t>
        </is>
      </c>
      <c r="AA5" s="2" t="inlineStr">
        <is>
          <t>Active</t>
        </is>
      </c>
      <c r="AB5" s="2" t="n"/>
      <c r="AC5" s="8" t="inlineStr">
        <is>
          <t>The neckline appliqué in sugared pastels — baby pink, powder blue, butter yellow and mint petals with pearl centres and silver bead scrolls, scalloped in white. Made for daytime mehendi and haldi palettes. Sold per piece.</t>
        </is>
      </c>
      <c r="AD5" s="8" t="n"/>
    </row>
    <row r="6" ht="56" customHeight="1">
      <c r="A6" s="2" t="n"/>
      <c r="B6" s="2" t="inlineStr">
        <is>
          <t>NE1386-S34</t>
        </is>
      </c>
      <c r="C6" s="2" t="inlineStr">
        <is>
          <t>NE1386-S34</t>
        </is>
      </c>
      <c r="D6" s="2" t="inlineStr">
        <is>
          <t>Ivory Bridal Beaded Neckline Appliqué</t>
        </is>
      </c>
      <c r="E6" s="2" t="inlineStr">
        <is>
          <t>TRESOR</t>
        </is>
      </c>
      <c r="F6" s="2" t="inlineStr">
        <is>
          <t>Laces</t>
        </is>
      </c>
      <c r="G6" s="2" t="inlineStr">
        <is>
          <t>Patch</t>
        </is>
      </c>
      <c r="H6" s="2" t="inlineStr">
        <is>
          <t>Mixed</t>
        </is>
      </c>
      <c r="I6" s="2" t="inlineStr">
        <is>
          <t>bundle</t>
        </is>
      </c>
      <c r="J6" s="2" t="n"/>
      <c r="K6" s="3" t="n">
        <v>700</v>
      </c>
      <c r="L6" s="4" t="n">
        <v>1200</v>
      </c>
      <c r="M6" s="4" t="n">
        <v>1200</v>
      </c>
      <c r="N6" s="5">
        <f>IF(OR(K6="",L6=""),"",(L6-K6)/L6)</f>
        <v/>
      </c>
      <c r="O6" s="6" t="n">
        <v>0.05</v>
      </c>
      <c r="P6" s="2" t="n"/>
      <c r="Q6" s="2" t="n">
        <v>1</v>
      </c>
      <c r="R6" s="2" t="n">
        <v>1</v>
      </c>
      <c r="S6" s="2">
        <f>IF(Q6="","",IF(Q6&lt;=0,"OUT OF STOCK",IF(Q6&lt;=R6,"REORDER","OK")))</f>
        <v/>
      </c>
      <c r="T6" s="2">
        <f>IF(B6="","",SUMIFS('Stock Log'!$D$2:$D$600,'Stock Log'!$B$2:$B$600,B6))</f>
        <v/>
      </c>
      <c r="U6" s="2">
        <f>IF(B6="","",IF(T6=Q6,"OK","CHECK"))</f>
        <v/>
      </c>
      <c r="V6" s="7" t="inlineStr">
        <is>
          <t>2026-07-09</t>
        </is>
      </c>
      <c r="W6" s="2" t="inlineStr">
        <is>
          <t>Supplier A (rename me)</t>
        </is>
      </c>
      <c r="X6" s="2" t="inlineStr">
        <is>
          <t>https://tresorcouture.in/products/lace/NE1386-S34.jpg</t>
        </is>
      </c>
      <c r="Y6" s="2" t="inlineStr">
        <is>
          <t>Studio</t>
        </is>
      </c>
      <c r="Z6" s="2" t="inlineStr">
        <is>
          <t>Yes</t>
        </is>
      </c>
      <c r="AA6" s="2" t="inlineStr">
        <is>
          <t>Active</t>
        </is>
      </c>
      <c r="AB6" s="2" t="n"/>
      <c r="AC6" s="8" t="inlineStr">
        <is>
          <t>All-ivory florals, pearl sprays and crystal scrolls on sheer net — the bridal colourway of the beaded neckline, ready for a white or champagne gown. Sold per piece.</t>
        </is>
      </c>
      <c r="AD6" s="8" t="n"/>
    </row>
    <row r="7" ht="56" customHeight="1">
      <c r="A7" s="2" t="n"/>
      <c r="B7" s="2" t="inlineStr">
        <is>
          <t>NE1386-S35</t>
        </is>
      </c>
      <c r="C7" s="2" t="inlineStr">
        <is>
          <t>NE1386-S35</t>
        </is>
      </c>
      <c r="D7" s="2" t="inlineStr">
        <is>
          <t>Gilded Mirror V-Neckline Appliqué</t>
        </is>
      </c>
      <c r="E7" s="2" t="inlineStr">
        <is>
          <t>TRESOR</t>
        </is>
      </c>
      <c r="F7" s="2" t="inlineStr">
        <is>
          <t>Laces</t>
        </is>
      </c>
      <c r="G7" s="2" t="inlineStr">
        <is>
          <t>Patch</t>
        </is>
      </c>
      <c r="H7" s="2" t="inlineStr">
        <is>
          <t>Mixed</t>
        </is>
      </c>
      <c r="I7" s="2" t="inlineStr">
        <is>
          <t>bundle</t>
        </is>
      </c>
      <c r="J7" s="2" t="n"/>
      <c r="K7" s="3" t="n">
        <v>700</v>
      </c>
      <c r="L7" s="4" t="n">
        <v>1200</v>
      </c>
      <c r="M7" s="4" t="n">
        <v>1200</v>
      </c>
      <c r="N7" s="5">
        <f>IF(OR(K7="",L7=""),"",(L7-K7)/L7)</f>
        <v/>
      </c>
      <c r="O7" s="6" t="n">
        <v>0.05</v>
      </c>
      <c r="P7" s="2" t="n"/>
      <c r="Q7" s="2" t="n">
        <v>1</v>
      </c>
      <c r="R7" s="2" t="n">
        <v>1</v>
      </c>
      <c r="S7" s="2">
        <f>IF(Q7="","",IF(Q7&lt;=0,"OUT OF STOCK",IF(Q7&lt;=R7,"REORDER","OK")))</f>
        <v/>
      </c>
      <c r="T7" s="2">
        <f>IF(B7="","",SUMIFS('Stock Log'!$D$2:$D$600,'Stock Log'!$B$2:$B$600,B7))</f>
        <v/>
      </c>
      <c r="U7" s="2">
        <f>IF(B7="","",IF(T7=Q7,"OK","CHECK"))</f>
        <v/>
      </c>
      <c r="V7" s="7" t="inlineStr">
        <is>
          <t>2026-07-09</t>
        </is>
      </c>
      <c r="W7" s="2" t="inlineStr">
        <is>
          <t>Supplier A (rename me)</t>
        </is>
      </c>
      <c r="X7" s="2" t="inlineStr">
        <is>
          <t>https://tresorcouture.in/products/lace/NE1386-S35.jpg</t>
        </is>
      </c>
      <c r="Y7" s="2" t="inlineStr">
        <is>
          <t>Studio</t>
        </is>
      </c>
      <c r="Z7" s="2" t="inlineStr">
        <is>
          <t>Yes</t>
        </is>
      </c>
      <c r="AA7" s="2" t="inlineStr">
        <is>
          <t>Active</t>
        </is>
      </c>
      <c r="AB7" s="2" t="n"/>
      <c r="AC7" s="8" t="inlineStr">
        <is>
          <t>A deep-V neckline panel in solid gold work: pearl-edged zari braid arms meeting a mirror-and-bead lattice bib, finished with picot pearls all round. Heavy, regal, festive. Sold per piece.</t>
        </is>
      </c>
      <c r="AD7" s="8" t="n"/>
    </row>
    <row r="8" ht="56" customHeight="1">
      <c r="A8" s="2" t="n"/>
      <c r="B8" s="2" t="inlineStr">
        <is>
          <t>NO-CODE-S23</t>
        </is>
      </c>
      <c r="C8" s="2" t="inlineStr">
        <is>
          <t>NO-CODE-S23</t>
        </is>
      </c>
      <c r="D8" s="2" t="inlineStr">
        <is>
          <t>Antique Gold Jaal Scallop Border</t>
        </is>
      </c>
      <c r="E8" s="2" t="inlineStr">
        <is>
          <t>TRESOR</t>
        </is>
      </c>
      <c r="F8" s="2" t="inlineStr">
        <is>
          <t>Laces</t>
        </is>
      </c>
      <c r="G8" s="2" t="inlineStr">
        <is>
          <t>Patch</t>
        </is>
      </c>
      <c r="H8" s="2" t="inlineStr">
        <is>
          <t>Mixed</t>
        </is>
      </c>
      <c r="I8" s="2" t="inlineStr">
        <is>
          <t>unit</t>
        </is>
      </c>
      <c r="J8" s="2" t="n"/>
      <c r="K8" s="3" t="n">
        <v>280</v>
      </c>
      <c r="L8" s="4" t="n">
        <v>480</v>
      </c>
      <c r="M8" s="4" t="n">
        <v>480</v>
      </c>
      <c r="N8" s="5">
        <f>IF(OR(K8="",L8=""),"",(L8-K8)/L8)</f>
        <v/>
      </c>
      <c r="O8" s="6" t="n">
        <v>0.05</v>
      </c>
      <c r="P8" s="2" t="n"/>
      <c r="Q8" s="2" t="n">
        <v>1</v>
      </c>
      <c r="R8" s="2" t="n">
        <v>1</v>
      </c>
      <c r="S8" s="2">
        <f>IF(Q8="","",IF(Q8&lt;=0,"OUT OF STOCK",IF(Q8&lt;=R8,"REORDER","OK")))</f>
        <v/>
      </c>
      <c r="T8" s="2">
        <f>IF(B8="","",SUMIFS('Stock Log'!$D$2:$D$600,'Stock Log'!$B$2:$B$600,B8))</f>
        <v/>
      </c>
      <c r="U8" s="2">
        <f>IF(B8="","",IF(T8=Q8,"OK","CHECK"))</f>
        <v/>
      </c>
      <c r="V8" s="7" t="inlineStr">
        <is>
          <t>2026-07-09</t>
        </is>
      </c>
      <c r="W8" s="2" t="inlineStr">
        <is>
          <t>Supplier A (rename me)</t>
        </is>
      </c>
      <c r="X8" s="2" t="inlineStr">
        <is>
          <t>https://tresorcouture.in/products/lace/NO-CODE-S23.jpg</t>
        </is>
      </c>
      <c r="Y8" s="2" t="inlineStr">
        <is>
          <t>Studio</t>
        </is>
      </c>
      <c r="Z8" s="2" t="inlineStr">
        <is>
          <t>Yes</t>
        </is>
      </c>
      <c r="AA8" s="2" t="inlineStr">
        <is>
          <t>Active</t>
        </is>
      </c>
      <c r="AB8" s="2" t="n"/>
      <c r="AC8" s="8" t="inlineStr">
        <is>
          <t>Scalloped fans of antique-gold zari and bugle beads, each medallion set with pearls, linked by woven leaf motifs — a temple-jaal border by the piece for blouse hems and sleeve edges.</t>
        </is>
      </c>
      <c r="AD8" s="8" t="n"/>
    </row>
    <row r="9" ht="56" customHeight="1">
      <c r="A9" s="2" t="n"/>
      <c r="B9" s="2" t="inlineStr">
        <is>
          <t>6343</t>
        </is>
      </c>
      <c r="C9" s="2" t="inlineStr">
        <is>
          <t>6343</t>
        </is>
      </c>
      <c r="D9" s="2" t="inlineStr">
        <is>
          <t>Ivory Pearl Bouquet Bridal Border</t>
        </is>
      </c>
      <c r="E9" s="2" t="inlineStr">
        <is>
          <t>TRESOR</t>
        </is>
      </c>
      <c r="F9" s="2" t="inlineStr">
        <is>
          <t>Laces</t>
        </is>
      </c>
      <c r="G9" s="2" t="inlineStr">
        <is>
          <t>Trim &amp; Edging</t>
        </is>
      </c>
      <c r="H9" s="2" t="inlineStr">
        <is>
          <t>Mixed</t>
        </is>
      </c>
      <c r="I9" s="2" t="inlineStr">
        <is>
          <t>bundle</t>
        </is>
      </c>
      <c r="J9" s="2" t="n">
        <v>9</v>
      </c>
      <c r="K9" s="3" t="n">
        <v>4060</v>
      </c>
      <c r="L9" s="4" t="n">
        <v>7000</v>
      </c>
      <c r="M9" s="4" t="n">
        <v>7000</v>
      </c>
      <c r="N9" s="5">
        <f>IF(OR(K9="",L9=""),"",(L9-K9)/L9)</f>
        <v/>
      </c>
      <c r="O9" s="6" t="n">
        <v>0.05</v>
      </c>
      <c r="P9" s="2" t="n"/>
      <c r="Q9" s="2" t="n">
        <v>0</v>
      </c>
      <c r="R9" s="2" t="n">
        <v>1</v>
      </c>
      <c r="S9" s="2">
        <f>IF(Q9="","",IF(Q9&lt;=0,"OUT OF STOCK",IF(Q9&lt;=R9,"REORDER","OK")))</f>
        <v/>
      </c>
      <c r="T9" s="2">
        <f>IF(B9="","",SUMIFS('Stock Log'!$D$2:$D$600,'Stock Log'!$B$2:$B$600,B9))</f>
        <v/>
      </c>
      <c r="U9" s="2">
        <f>IF(B9="","",IF(T9=Q9,"OK","CHECK"))</f>
        <v/>
      </c>
      <c r="V9" s="7" t="inlineStr">
        <is>
          <t>2026-07-09</t>
        </is>
      </c>
      <c r="W9" s="2" t="inlineStr">
        <is>
          <t>Supplier A (rename me)</t>
        </is>
      </c>
      <c r="X9" s="2" t="inlineStr">
        <is>
          <t>https://tresorcouture.in/products/lace/6343.jpg</t>
        </is>
      </c>
      <c r="Y9" s="2" t="inlineStr">
        <is>
          <t>Studio</t>
        </is>
      </c>
      <c r="Z9" s="2" t="inlineStr">
        <is>
          <t>Yes</t>
        </is>
      </c>
      <c r="AA9" s="2" t="inlineStr">
        <is>
          <t>Active</t>
        </is>
      </c>
      <c r="AB9" s="2" t="n"/>
      <c r="AC9" s="8" t="inlineStr">
        <is>
          <t>A wide ivory net border worked with velvet floral bouquets, seed pearls, silver zari leaves and sequin sprays, finishing in a softly scalloped edge with a sequin-run header. A full 9-metre reel — enough for a lehenga hem or a dupatta on all sides.</t>
        </is>
      </c>
      <c r="AD9" s="8" t="n"/>
    </row>
    <row r="10" ht="56" customHeight="1">
      <c r="A10" s="2" t="n"/>
      <c r="B10" s="2" t="inlineStr">
        <is>
          <t>6988</t>
        </is>
      </c>
      <c r="C10" s="2" t="inlineStr">
        <is>
          <t>6988</t>
        </is>
      </c>
      <c r="D10" s="2" t="inlineStr">
        <is>
          <t>Magenta Gota Braid with Pearl Rows</t>
        </is>
      </c>
      <c r="E10" s="2" t="inlineStr">
        <is>
          <t>TRESOR</t>
        </is>
      </c>
      <c r="F10" s="2" t="inlineStr">
        <is>
          <t>Laces</t>
        </is>
      </c>
      <c r="G10" s="2" t="inlineStr">
        <is>
          <t>Trim &amp; Edging</t>
        </is>
      </c>
      <c r="H10" s="2" t="inlineStr">
        <is>
          <t>Mixed</t>
        </is>
      </c>
      <c r="I10" s="2" t="inlineStr">
        <is>
          <t>bundle</t>
        </is>
      </c>
      <c r="J10" s="2" t="n">
        <v>9</v>
      </c>
      <c r="K10" s="3" t="n">
        <v>580</v>
      </c>
      <c r="L10" s="4" t="n">
        <v>999</v>
      </c>
      <c r="M10" s="4" t="n">
        <v>999</v>
      </c>
      <c r="N10" s="5">
        <f>IF(OR(K10="",L10=""),"",(L10-K10)/L10)</f>
        <v/>
      </c>
      <c r="O10" s="6" t="n">
        <v>0.05</v>
      </c>
      <c r="P10" s="2" t="n"/>
      <c r="Q10" s="2" t="n">
        <v>0</v>
      </c>
      <c r="R10" s="2" t="n">
        <v>1</v>
      </c>
      <c r="S10" s="2">
        <f>IF(Q10="","",IF(Q10&lt;=0,"OUT OF STOCK",IF(Q10&lt;=R10,"REORDER","OK")))</f>
        <v/>
      </c>
      <c r="T10" s="2">
        <f>IF(B10="","",SUMIFS('Stock Log'!$D$2:$D$600,'Stock Log'!$B$2:$B$600,B10))</f>
        <v/>
      </c>
      <c r="U10" s="2">
        <f>IF(B10="","",IF(T10=Q10,"OK","CHECK"))</f>
        <v/>
      </c>
      <c r="V10" s="7" t="inlineStr">
        <is>
          <t>2026-07-09</t>
        </is>
      </c>
      <c r="W10" s="2" t="inlineStr">
        <is>
          <t>Supplier A (rename me)</t>
        </is>
      </c>
      <c r="X10" s="2" t="inlineStr">
        <is>
          <t>https://tresorcouture.in/products/lace/6988.jpg</t>
        </is>
      </c>
      <c r="Y10" s="2" t="inlineStr">
        <is>
          <t>Studio</t>
        </is>
      </c>
      <c r="Z10" s="2" t="inlineStr">
        <is>
          <t>Yes</t>
        </is>
      </c>
      <c r="AA10" s="2" t="inlineStr">
        <is>
          <t>Active</t>
        </is>
      </c>
      <c r="AB10" s="2" t="n"/>
      <c r="AC10" s="8" t="inlineStr">
        <is>
          <t>A narrow magenta satin band carrying antique-gold wire scrollwork, a run of half-pearls and a fine gold chain along the footing. A classic gota-style braid for sleeve cuffs, necklines and dupatta edges. 9-metre reel.</t>
        </is>
      </c>
      <c r="AD10" s="8" t="n"/>
    </row>
    <row r="11" ht="56" customHeight="1">
      <c r="A11" s="2" t="n"/>
      <c r="B11" s="2" t="inlineStr">
        <is>
          <t>HA3858</t>
        </is>
      </c>
      <c r="C11" s="2" t="inlineStr">
        <is>
          <t>HA3858</t>
        </is>
      </c>
      <c r="D11" s="2" t="inlineStr">
        <is>
          <t>Champagne Sequin Encrusted Band</t>
        </is>
      </c>
      <c r="E11" s="2" t="inlineStr">
        <is>
          <t>TRESOR</t>
        </is>
      </c>
      <c r="F11" s="2" t="inlineStr">
        <is>
          <t>Laces</t>
        </is>
      </c>
      <c r="G11" s="2" t="inlineStr">
        <is>
          <t>Trim &amp; Edging</t>
        </is>
      </c>
      <c r="H11" s="2" t="inlineStr">
        <is>
          <t>Mixed</t>
        </is>
      </c>
      <c r="I11" s="2" t="inlineStr">
        <is>
          <t>bundle</t>
        </is>
      </c>
      <c r="J11" s="2" t="n">
        <v>9</v>
      </c>
      <c r="K11" s="3" t="n">
        <v>750</v>
      </c>
      <c r="L11" s="4" t="n">
        <v>1299</v>
      </c>
      <c r="M11" s="4" t="n">
        <v>1299</v>
      </c>
      <c r="N11" s="5">
        <f>IF(OR(K11="",L11=""),"",(L11-K11)/L11)</f>
        <v/>
      </c>
      <c r="O11" s="6" t="n">
        <v>0.05</v>
      </c>
      <c r="P11" s="2" t="n"/>
      <c r="Q11" s="2" t="n">
        <v>1</v>
      </c>
      <c r="R11" s="2" t="n">
        <v>1</v>
      </c>
      <c r="S11" s="2">
        <f>IF(Q11="","",IF(Q11&lt;=0,"OUT OF STOCK",IF(Q11&lt;=R11,"REORDER","OK")))</f>
        <v/>
      </c>
      <c r="T11" s="2">
        <f>IF(B11="","",SUMIFS('Stock Log'!$D$2:$D$600,'Stock Log'!$B$2:$B$600,B11))</f>
        <v/>
      </c>
      <c r="U11" s="2">
        <f>IF(B11="","",IF(T11=Q11,"OK","CHECK"))</f>
        <v/>
      </c>
      <c r="V11" s="7" t="inlineStr">
        <is>
          <t>2026-07-09</t>
        </is>
      </c>
      <c r="W11" s="2" t="inlineStr">
        <is>
          <t>Supplier A (rename me)</t>
        </is>
      </c>
      <c r="X11" s="2" t="inlineStr">
        <is>
          <t>https://tresorcouture.in/products/lace/HA3858.jpg</t>
        </is>
      </c>
      <c r="Y11" s="2" t="inlineStr">
        <is>
          <t>Studio</t>
        </is>
      </c>
      <c r="Z11" s="2" t="inlineStr">
        <is>
          <t>Yes</t>
        </is>
      </c>
      <c r="AA11" s="2" t="inlineStr">
        <is>
          <t>Active</t>
        </is>
      </c>
      <c r="AB11" s="2" t="n"/>
      <c r="AC11" s="8" t="inlineStr">
        <is>
          <t>Densely packed champagne-gold sequins on a nude net base — the whole band reads as one strip of shimmer. Cut it for blouse borders, waistbands or a lehenga hem that catches every light. 9-metre reel.</t>
        </is>
      </c>
      <c r="AD11" s="8" t="n"/>
    </row>
    <row r="12" ht="56" customHeight="1">
      <c r="A12" s="2" t="n"/>
      <c r="B12" s="2" t="inlineStr">
        <is>
          <t>HA4536</t>
        </is>
      </c>
      <c r="C12" s="2" t="inlineStr">
        <is>
          <t>HA4536</t>
        </is>
      </c>
      <c r="D12" s="2" t="inlineStr">
        <is>
          <t>Pastel Deco Beadwork Border</t>
        </is>
      </c>
      <c r="E12" s="2" t="inlineStr">
        <is>
          <t>TRESOR</t>
        </is>
      </c>
      <c r="F12" s="2" t="inlineStr">
        <is>
          <t>Laces</t>
        </is>
      </c>
      <c r="G12" s="2" t="inlineStr">
        <is>
          <t>Trim &amp; Edging</t>
        </is>
      </c>
      <c r="H12" s="2" t="inlineStr">
        <is>
          <t>Mixed</t>
        </is>
      </c>
      <c r="I12" s="2" t="inlineStr">
        <is>
          <t>bundle</t>
        </is>
      </c>
      <c r="J12" s="2" t="n">
        <v>3</v>
      </c>
      <c r="K12" s="3" t="n">
        <v>2200</v>
      </c>
      <c r="L12" s="4" t="n">
        <v>3800</v>
      </c>
      <c r="M12" s="4" t="n">
        <v>3800</v>
      </c>
      <c r="N12" s="5">
        <f>IF(OR(K12="",L12=""),"",(L12-K12)/L12)</f>
        <v/>
      </c>
      <c r="O12" s="6" t="n">
        <v>0.05</v>
      </c>
      <c r="P12" s="2" t="n"/>
      <c r="Q12" s="2" t="n">
        <v>0</v>
      </c>
      <c r="R12" s="2" t="n">
        <v>1</v>
      </c>
      <c r="S12" s="2">
        <f>IF(Q12="","",IF(Q12&lt;=0,"OUT OF STOCK",IF(Q12&lt;=R12,"REORDER","OK")))</f>
        <v/>
      </c>
      <c r="T12" s="2">
        <f>IF(B12="","",SUMIFS('Stock Log'!$D$2:$D$600,'Stock Log'!$B$2:$B$600,B12))</f>
        <v/>
      </c>
      <c r="U12" s="2">
        <f>IF(B12="","",IF(T12=Q12,"OK","CHECK"))</f>
        <v/>
      </c>
      <c r="V12" s="7" t="inlineStr">
        <is>
          <t>2026-07-09</t>
        </is>
      </c>
      <c r="W12" s="2" t="inlineStr">
        <is>
          <t>Supplier A (rename me)</t>
        </is>
      </c>
      <c r="X12" s="2" t="inlineStr">
        <is>
          <t>https://tresorcouture.in/products/lace/HA4536.jpg</t>
        </is>
      </c>
      <c r="Y12" s="2" t="inlineStr">
        <is>
          <t>Studio</t>
        </is>
      </c>
      <c r="Z12" s="2" t="inlineStr">
        <is>
          <t>Yes</t>
        </is>
      </c>
      <c r="AA12" s="2" t="inlineStr">
        <is>
          <t>Active</t>
        </is>
      </c>
      <c r="AB12" s="2" t="n"/>
      <c r="AC12" s="8" t="inlineStr">
        <is>
          <t>A wide statement border of overlapping deco arches: turquoise, lilac, peach and taupe bugle beads laid in fans, edged with pearl strings, rhinestone chain and butter-yellow threadwork on beige net. Sold as a 3-metre length — one showpiece border.</t>
        </is>
      </c>
      <c r="AD12" s="8" t="n"/>
    </row>
    <row r="13" ht="56" customHeight="1">
      <c r="A13" s="2" t="n"/>
      <c r="B13" s="2" t="inlineStr">
        <is>
          <t>HA6293</t>
        </is>
      </c>
      <c r="C13" s="2" t="inlineStr">
        <is>
          <t>HA6293</t>
        </is>
      </c>
      <c r="D13" s="2" t="inlineStr">
        <is>
          <t>Ivory Guipure Daisy Lace with Pearls</t>
        </is>
      </c>
      <c r="E13" s="2" t="inlineStr">
        <is>
          <t>TRESOR</t>
        </is>
      </c>
      <c r="F13" s="2" t="inlineStr">
        <is>
          <t>Laces</t>
        </is>
      </c>
      <c r="G13" s="2" t="inlineStr">
        <is>
          <t>Trim &amp; Edging</t>
        </is>
      </c>
      <c r="H13" s="2" t="inlineStr">
        <is>
          <t>Mixed</t>
        </is>
      </c>
      <c r="I13" s="2" t="inlineStr">
        <is>
          <t>bundle</t>
        </is>
      </c>
      <c r="J13" s="2" t="n">
        <v>8</v>
      </c>
      <c r="K13" s="3" t="n">
        <v>2780</v>
      </c>
      <c r="L13" s="4" t="n">
        <v>4800</v>
      </c>
      <c r="M13" s="4" t="n">
        <v>4800</v>
      </c>
      <c r="N13" s="5">
        <f>IF(OR(K13="",L13=""),"",(L13-K13)/L13)</f>
        <v/>
      </c>
      <c r="O13" s="6" t="n">
        <v>0.05</v>
      </c>
      <c r="P13" s="2" t="n"/>
      <c r="Q13" s="2" t="n">
        <v>1</v>
      </c>
      <c r="R13" s="2" t="n">
        <v>1</v>
      </c>
      <c r="S13" s="2">
        <f>IF(Q13="","",IF(Q13&lt;=0,"OUT OF STOCK",IF(Q13&lt;=R13,"REORDER","OK")))</f>
        <v/>
      </c>
      <c r="T13" s="2">
        <f>IF(B13="","",SUMIFS('Stock Log'!$D$2:$D$600,'Stock Log'!$B$2:$B$600,B13))</f>
        <v/>
      </c>
      <c r="U13" s="2">
        <f>IF(B13="","",IF(T13=Q13,"OK","CHECK"))</f>
        <v/>
      </c>
      <c r="V13" s="7" t="inlineStr">
        <is>
          <t>2026-07-09</t>
        </is>
      </c>
      <c r="W13" s="2" t="inlineStr">
        <is>
          <t>Supplier A (rename me)</t>
        </is>
      </c>
      <c r="X13" s="2" t="inlineStr">
        <is>
          <t>https://tresorcouture.in/products/lace/HA6293.jpg</t>
        </is>
      </c>
      <c r="Y13" s="2" t="inlineStr">
        <is>
          <t>Studio</t>
        </is>
      </c>
      <c r="Z13" s="2" t="inlineStr">
        <is>
          <t>Yes</t>
        </is>
      </c>
      <c r="AA13" s="2" t="inlineStr">
        <is>
          <t>Active</t>
        </is>
      </c>
      <c r="AB13" s="2" t="n"/>
      <c r="AC13" s="8" t="inlineStr">
        <is>
          <t>Free-standing guipure star-flowers in ivory, each centred with a pearl cluster and dressed with crystal beads and sequins, linked petal-to-petal with bead drops along both edges. 8-metre reel of true cutwork lace — no net backing to trim away.</t>
        </is>
      </c>
      <c r="AD13" s="8" t="n"/>
    </row>
    <row r="14" ht="56" customHeight="1">
      <c r="A14" s="2" t="n"/>
      <c r="B14" s="2" t="inlineStr">
        <is>
          <t>HA6320</t>
        </is>
      </c>
      <c r="C14" s="2" t="inlineStr">
        <is>
          <t>HA6320</t>
        </is>
      </c>
      <c r="D14" s="2" t="inlineStr">
        <is>
          <t>Berry Garden Dimensional Floral Trim</t>
        </is>
      </c>
      <c r="E14" s="2" t="inlineStr">
        <is>
          <t>TRESOR</t>
        </is>
      </c>
      <c r="F14" s="2" t="inlineStr">
        <is>
          <t>Laces</t>
        </is>
      </c>
      <c r="G14" s="2" t="inlineStr">
        <is>
          <t>Trim &amp; Edging</t>
        </is>
      </c>
      <c r="H14" s="2" t="inlineStr">
        <is>
          <t>Mixed</t>
        </is>
      </c>
      <c r="I14" s="2" t="inlineStr">
        <is>
          <t>bundle</t>
        </is>
      </c>
      <c r="J14" s="2" t="n">
        <v>3</v>
      </c>
      <c r="K14" s="3" t="n">
        <v>2780</v>
      </c>
      <c r="L14" s="4" t="n">
        <v>4800</v>
      </c>
      <c r="M14" s="4" t="n">
        <v>4800</v>
      </c>
      <c r="N14" s="5">
        <f>IF(OR(K14="",L14=""),"",(L14-K14)/L14)</f>
        <v/>
      </c>
      <c r="O14" s="6" t="n">
        <v>0.05</v>
      </c>
      <c r="P14" s="2" t="n"/>
      <c r="Q14" s="2" t="n">
        <v>0</v>
      </c>
      <c r="R14" s="2" t="n">
        <v>1</v>
      </c>
      <c r="S14" s="2">
        <f>IF(Q14="","",IF(Q14&lt;=0,"OUT OF STOCK",IF(Q14&lt;=R14,"REORDER","OK")))</f>
        <v/>
      </c>
      <c r="T14" s="2">
        <f>IF(B14="","",SUMIFS('Stock Log'!$D$2:$D$600,'Stock Log'!$B$2:$B$600,B14))</f>
        <v/>
      </c>
      <c r="U14" s="2">
        <f>IF(B14="","",IF(T14=Q14,"OK","CHECK"))</f>
        <v/>
      </c>
      <c r="V14" s="7" t="inlineStr">
        <is>
          <t>2026-07-09</t>
        </is>
      </c>
      <c r="W14" s="2" t="inlineStr">
        <is>
          <t>Supplier A (rename me)</t>
        </is>
      </c>
      <c r="X14" s="2" t="inlineStr">
        <is>
          <t>https://tresorcouture.in/products/lace/HA6320.jpg</t>
        </is>
      </c>
      <c r="Y14" s="2" t="inlineStr">
        <is>
          <t>Studio</t>
        </is>
      </c>
      <c r="Z14" s="2" t="inlineStr">
        <is>
          <t>Yes</t>
        </is>
      </c>
      <c r="AA14" s="2" t="inlineStr">
        <is>
          <t>Active</t>
        </is>
      </c>
      <c r="AB14" s="2" t="n"/>
      <c r="AC14" s="8" t="inlineStr">
        <is>
          <t>A joyful, dimensional trim: white organza blossoms rise off grey net between beaded berries in orange, cobalt, raspberry and lime, with fern leaves in green thread and a trailing pearl vine. Sold as a 3-metre length for necklines and hem features.</t>
        </is>
      </c>
      <c r="AD14" s="8" t="n"/>
    </row>
    <row r="15" ht="56" customHeight="1">
      <c r="A15" s="2" t="n"/>
      <c r="B15" s="2" t="inlineStr">
        <is>
          <t>HA6378</t>
        </is>
      </c>
      <c r="C15" s="2" t="inlineStr">
        <is>
          <t>HA6378</t>
        </is>
      </c>
      <c r="D15" s="2" t="inlineStr">
        <is>
          <t>Soft Chantilly Scallop Lace · White</t>
        </is>
      </c>
      <c r="E15" s="2" t="inlineStr">
        <is>
          <t>TRESOR</t>
        </is>
      </c>
      <c r="F15" s="2" t="inlineStr">
        <is>
          <t>Laces</t>
        </is>
      </c>
      <c r="G15" s="2" t="inlineStr">
        <is>
          <t>Trim &amp; Edging</t>
        </is>
      </c>
      <c r="H15" s="2" t="inlineStr">
        <is>
          <t>Mixed</t>
        </is>
      </c>
      <c r="I15" s="2" t="inlineStr">
        <is>
          <t>bundle</t>
        </is>
      </c>
      <c r="J15" s="2" t="n">
        <v>10</v>
      </c>
      <c r="K15" s="3" t="n">
        <v>2900</v>
      </c>
      <c r="L15" s="4" t="n">
        <v>4999</v>
      </c>
      <c r="M15" s="4" t="n">
        <v>4999</v>
      </c>
      <c r="N15" s="5">
        <f>IF(OR(K15="",L15=""),"",(L15-K15)/L15)</f>
        <v/>
      </c>
      <c r="O15" s="6" t="n">
        <v>0.05</v>
      </c>
      <c r="P15" s="2" t="n"/>
      <c r="Q15" s="2" t="n">
        <v>1</v>
      </c>
      <c r="R15" s="2" t="n">
        <v>1</v>
      </c>
      <c r="S15" s="2">
        <f>IF(Q15="","",IF(Q15&lt;=0,"OUT OF STOCK",IF(Q15&lt;=R15,"REORDER","OK")))</f>
        <v/>
      </c>
      <c r="T15" s="2">
        <f>IF(B15="","",SUMIFS('Stock Log'!$D$2:$D$600,'Stock Log'!$B$2:$B$600,B15))</f>
        <v/>
      </c>
      <c r="U15" s="2">
        <f>IF(B15="","",IF(T15=Q15,"OK","CHECK"))</f>
        <v/>
      </c>
      <c r="V15" s="7" t="inlineStr">
        <is>
          <t>2026-07-09</t>
        </is>
      </c>
      <c r="W15" s="2" t="inlineStr">
        <is>
          <t>Supplier A (rename me)</t>
        </is>
      </c>
      <c r="X15" s="2" t="inlineStr">
        <is>
          <t>https://tresorcouture.in/products/lace/HA6378.jpg</t>
        </is>
      </c>
      <c r="Y15" s="2" t="inlineStr">
        <is>
          <t>Needs reshoot</t>
        </is>
      </c>
      <c r="Z15" s="2" t="inlineStr">
        <is>
          <t>Yes</t>
        </is>
      </c>
      <c r="AA15" s="2" t="inlineStr">
        <is>
          <t>Active</t>
        </is>
      </c>
      <c r="AB15" s="2" t="n"/>
      <c r="AC15" s="8" t="inlineStr">
        <is>
          <t>Soft white corded lace with rounded scallop repeats and a fine floral fill, supplied as generous scalloped panels. A 10-metre reel for overlays, veils and sleeve work.</t>
        </is>
      </c>
      <c r="AD15" s="8" t="inlineStr">
        <is>
          <t>Reshoot flagged — warehouse snapshot</t>
        </is>
      </c>
    </row>
    <row r="16" ht="56" customHeight="1">
      <c r="A16" s="2" t="n"/>
      <c r="B16" s="2" t="inlineStr">
        <is>
          <t>HA6387</t>
        </is>
      </c>
      <c r="C16" s="2" t="inlineStr">
        <is>
          <t>HA6387</t>
        </is>
      </c>
      <c r="D16" s="2" t="inlineStr">
        <is>
          <t>Blush Iridescent Floral Net Border</t>
        </is>
      </c>
      <c r="E16" s="2" t="inlineStr">
        <is>
          <t>TRESOR</t>
        </is>
      </c>
      <c r="F16" s="2" t="inlineStr">
        <is>
          <t>Laces</t>
        </is>
      </c>
      <c r="G16" s="2" t="inlineStr">
        <is>
          <t>Trim &amp; Edging</t>
        </is>
      </c>
      <c r="H16" s="2" t="inlineStr">
        <is>
          <t>Mixed</t>
        </is>
      </c>
      <c r="I16" s="2" t="inlineStr">
        <is>
          <t>bundle</t>
        </is>
      </c>
      <c r="J16" s="2" t="n">
        <v>10</v>
      </c>
      <c r="K16" s="3" t="n">
        <v>2780</v>
      </c>
      <c r="L16" s="4" t="n">
        <v>4800</v>
      </c>
      <c r="M16" s="4" t="n">
        <v>4800</v>
      </c>
      <c r="N16" s="5">
        <f>IF(OR(K16="",L16=""),"",(L16-K16)/L16)</f>
        <v/>
      </c>
      <c r="O16" s="6" t="n">
        <v>0.05</v>
      </c>
      <c r="P16" s="2" t="n"/>
      <c r="Q16" s="2" t="n">
        <v>1</v>
      </c>
      <c r="R16" s="2" t="n">
        <v>1</v>
      </c>
      <c r="S16" s="2">
        <f>IF(Q16="","",IF(Q16&lt;=0,"OUT OF STOCK",IF(Q16&lt;=R16,"REORDER","OK")))</f>
        <v/>
      </c>
      <c r="T16" s="2">
        <f>IF(B16="","",SUMIFS('Stock Log'!$D$2:$D$600,'Stock Log'!$B$2:$B$600,B16))</f>
        <v/>
      </c>
      <c r="U16" s="2">
        <f>IF(B16="","",IF(T16=Q16,"OK","CHECK"))</f>
        <v/>
      </c>
      <c r="V16" s="7" t="inlineStr">
        <is>
          <t>2026-07-09</t>
        </is>
      </c>
      <c r="W16" s="2" t="inlineStr">
        <is>
          <t>Supplier A (rename me)</t>
        </is>
      </c>
      <c r="X16" s="2" t="inlineStr">
        <is>
          <t>https://tresorcouture.in/products/lace/HA6387.jpg</t>
        </is>
      </c>
      <c r="Y16" s="2" t="inlineStr">
        <is>
          <t>Studio</t>
        </is>
      </c>
      <c r="Z16" s="2" t="inlineStr">
        <is>
          <t>Yes</t>
        </is>
      </c>
      <c r="AA16" s="2" t="inlineStr">
        <is>
          <t>Active</t>
        </is>
      </c>
      <c r="AB16" s="2" t="n"/>
      <c r="AC16" s="8" t="inlineStr">
        <is>
          <t>Tone-on-tone blush flowers outlined in dusty-rose thread, their petals filled with iridescent sequins and pastel bugle-bead rays that shift pink, mint and lilac as the light moves. On blush net, 10-metre reel.</t>
        </is>
      </c>
      <c r="AD16" s="8" t="n"/>
    </row>
    <row r="17" ht="56" customHeight="1">
      <c r="A17" s="2" t="n"/>
      <c r="B17" s="2" t="inlineStr">
        <is>
          <t>HA6674</t>
        </is>
      </c>
      <c r="C17" s="2" t="inlineStr">
        <is>
          <t>HA6674</t>
        </is>
      </c>
      <c r="D17" s="2" t="inlineStr">
        <is>
          <t>Mint Fan Scallop Beaded Trim</t>
        </is>
      </c>
      <c r="E17" s="2" t="inlineStr">
        <is>
          <t>TRESOR</t>
        </is>
      </c>
      <c r="F17" s="2" t="inlineStr">
        <is>
          <t>Laces</t>
        </is>
      </c>
      <c r="G17" s="2" t="inlineStr">
        <is>
          <t>Trim &amp; Edging</t>
        </is>
      </c>
      <c r="H17" s="2" t="inlineStr">
        <is>
          <t>Mixed</t>
        </is>
      </c>
      <c r="I17" s="2" t="inlineStr">
        <is>
          <t>bundle</t>
        </is>
      </c>
      <c r="J17" s="2" t="n">
        <v>9.5</v>
      </c>
      <c r="K17" s="3" t="n">
        <v>1680</v>
      </c>
      <c r="L17" s="4" t="n">
        <v>2899</v>
      </c>
      <c r="M17" s="4" t="n">
        <v>2899</v>
      </c>
      <c r="N17" s="5">
        <f>IF(OR(K17="",L17=""),"",(L17-K17)/L17)</f>
        <v/>
      </c>
      <c r="O17" s="6" t="n">
        <v>0.05</v>
      </c>
      <c r="P17" s="2" t="n"/>
      <c r="Q17" s="2" t="n">
        <v>1</v>
      </c>
      <c r="R17" s="2" t="n">
        <v>1</v>
      </c>
      <c r="S17" s="2">
        <f>IF(Q17="","",IF(Q17&lt;=0,"OUT OF STOCK",IF(Q17&lt;=R17,"REORDER","OK")))</f>
        <v/>
      </c>
      <c r="T17" s="2">
        <f>IF(B17="","",SUMIFS('Stock Log'!$D$2:$D$600,'Stock Log'!$B$2:$B$600,B17))</f>
        <v/>
      </c>
      <c r="U17" s="2">
        <f>IF(B17="","",IF(T17=Q17,"OK","CHECK"))</f>
        <v/>
      </c>
      <c r="V17" s="7" t="inlineStr">
        <is>
          <t>2026-07-09</t>
        </is>
      </c>
      <c r="W17" s="2" t="inlineStr">
        <is>
          <t>Supplier A (rename me)</t>
        </is>
      </c>
      <c r="X17" s="2" t="inlineStr">
        <is>
          <t>https://tresorcouture.in/products/lace/HA6674.jpg</t>
        </is>
      </c>
      <c r="Y17" s="2" t="inlineStr">
        <is>
          <t>Studio</t>
        </is>
      </c>
      <c r="Z17" s="2" t="inlineStr">
        <is>
          <t>Yes</t>
        </is>
      </c>
      <c r="AA17" s="2" t="inlineStr">
        <is>
          <t>Active</t>
        </is>
      </c>
      <c r="AB17" s="2" t="n"/>
      <c r="AC17" s="8" t="inlineStr">
        <is>
          <t>Arched fans of silver bugle beads and sequins on mint net, each scallop dressed with mint pearls and finished with crystal and pearl drops along the edge. Cool, icy and light. 9.5-metre reel.</t>
        </is>
      </c>
      <c r="AD17" s="8" t="n"/>
    </row>
    <row r="18" ht="56" customHeight="1">
      <c r="A18" s="2" t="n"/>
      <c r="B18" s="2" t="inlineStr">
        <is>
          <t>HA6758</t>
        </is>
      </c>
      <c r="C18" s="2" t="inlineStr">
        <is>
          <t>HA6758</t>
        </is>
      </c>
      <c r="D18" s="2" t="inlineStr">
        <is>
          <t>Royal Purple Zari Sari Border</t>
        </is>
      </c>
      <c r="E18" s="2" t="inlineStr">
        <is>
          <t>TRESOR</t>
        </is>
      </c>
      <c r="F18" s="2" t="inlineStr">
        <is>
          <t>Laces</t>
        </is>
      </c>
      <c r="G18" s="2" t="inlineStr">
        <is>
          <t>Trim &amp; Edging</t>
        </is>
      </c>
      <c r="H18" s="2" t="inlineStr">
        <is>
          <t>Mixed</t>
        </is>
      </c>
      <c r="I18" s="2" t="inlineStr">
        <is>
          <t>bundle</t>
        </is>
      </c>
      <c r="J18" s="2" t="n">
        <v>9</v>
      </c>
      <c r="K18" s="3" t="n">
        <v>2440</v>
      </c>
      <c r="L18" s="4" t="n">
        <v>4200</v>
      </c>
      <c r="M18" s="4" t="n">
        <v>4200</v>
      </c>
      <c r="N18" s="5">
        <f>IF(OR(K18="",L18=""),"",(L18-K18)/L18)</f>
        <v/>
      </c>
      <c r="O18" s="6" t="n">
        <v>0.05</v>
      </c>
      <c r="P18" s="2" t="n"/>
      <c r="Q18" s="2" t="n">
        <v>1</v>
      </c>
      <c r="R18" s="2" t="n">
        <v>1</v>
      </c>
      <c r="S18" s="2">
        <f>IF(Q18="","",IF(Q18&lt;=0,"OUT OF STOCK",IF(Q18&lt;=R18,"REORDER","OK")))</f>
        <v/>
      </c>
      <c r="T18" s="2">
        <f>IF(B18="","",SUMIFS('Stock Log'!$D$2:$D$600,'Stock Log'!$B$2:$B$600,B18))</f>
        <v/>
      </c>
      <c r="U18" s="2">
        <f>IF(B18="","",IF(T18=Q18,"OK","CHECK"))</f>
        <v/>
      </c>
      <c r="V18" s="7" t="inlineStr">
        <is>
          <t>2026-07-09</t>
        </is>
      </c>
      <c r="W18" s="2" t="inlineStr">
        <is>
          <t>Supplier A (rename me)</t>
        </is>
      </c>
      <c r="X18" s="2" t="inlineStr">
        <is>
          <t>https://tresorcouture.in/products/lace/HA6758.jpg</t>
        </is>
      </c>
      <c r="Y18" s="2" t="inlineStr">
        <is>
          <t>Studio</t>
        </is>
      </c>
      <c r="Z18" s="2" t="inlineStr">
        <is>
          <t>Yes</t>
        </is>
      </c>
      <c r="AA18" s="2" t="inlineStr">
        <is>
          <t>Active</t>
        </is>
      </c>
      <c r="AB18" s="2" t="n"/>
      <c r="AC18" s="8" t="inlineStr">
        <is>
          <t>A wide royal-purple satin border carrying dense antique-gold zari: a scalloped fan edge, beadwork medallions, sequin runs and a corded centre line. Made for sari falls and lehenga hems that want traditional weight. 9-metre reel.</t>
        </is>
      </c>
      <c r="AD18" s="8" t="n"/>
    </row>
    <row r="19" ht="56" customHeight="1">
      <c r="A19" s="2" t="n"/>
      <c r="B19" s="2" t="inlineStr">
        <is>
          <t>HA6767</t>
        </is>
      </c>
      <c r="C19" s="2" t="inlineStr">
        <is>
          <t>HA6767</t>
        </is>
      </c>
      <c r="D19" s="2" t="inlineStr">
        <is>
          <t>Navy &amp; Gold Picot Ribbon</t>
        </is>
      </c>
      <c r="E19" s="2" t="inlineStr">
        <is>
          <t>TRESOR</t>
        </is>
      </c>
      <c r="F19" s="2" t="inlineStr">
        <is>
          <t>Laces</t>
        </is>
      </c>
      <c r="G19" s="2" t="inlineStr">
        <is>
          <t>Trim &amp; Edging</t>
        </is>
      </c>
      <c r="H19" s="2" t="inlineStr">
        <is>
          <t>Mixed</t>
        </is>
      </c>
      <c r="I19" s="2" t="inlineStr">
        <is>
          <t>bundle</t>
        </is>
      </c>
      <c r="J19" s="2" t="n">
        <v>9</v>
      </c>
      <c r="K19" s="3" t="n">
        <v>410</v>
      </c>
      <c r="L19" s="4" t="n">
        <v>700</v>
      </c>
      <c r="M19" s="4" t="n">
        <v>700</v>
      </c>
      <c r="N19" s="5">
        <f>IF(OR(K19="",L19=""),"",(L19-K19)/L19)</f>
        <v/>
      </c>
      <c r="O19" s="6" t="n">
        <v>0.05</v>
      </c>
      <c r="P19" s="2" t="n"/>
      <c r="Q19" s="2" t="n">
        <v>1</v>
      </c>
      <c r="R19" s="2" t="n">
        <v>1</v>
      </c>
      <c r="S19" s="2">
        <f>IF(Q19="","",IF(Q19&lt;=0,"OUT OF STOCK",IF(Q19&lt;=R19,"REORDER","OK")))</f>
        <v/>
      </c>
      <c r="T19" s="2">
        <f>IF(B19="","",SUMIFS('Stock Log'!$D$2:$D$600,'Stock Log'!$B$2:$B$600,B19))</f>
        <v/>
      </c>
      <c r="U19" s="2">
        <f>IF(B19="","",IF(T19=Q19,"OK","CHECK"))</f>
        <v/>
      </c>
      <c r="V19" s="7" t="inlineStr">
        <is>
          <t>2026-07-09</t>
        </is>
      </c>
      <c r="W19" s="2" t="inlineStr">
        <is>
          <t>Supplier A (rename me)</t>
        </is>
      </c>
      <c r="X19" s="2" t="inlineStr">
        <is>
          <t>https://tresorcouture.in/products/lace/HA6767.jpg</t>
        </is>
      </c>
      <c r="Y19" s="2" t="inlineStr">
        <is>
          <t>Studio</t>
        </is>
      </c>
      <c r="Z19" s="2" t="inlineStr">
        <is>
          <t>Yes</t>
        </is>
      </c>
      <c r="AA19" s="2" t="inlineStr">
        <is>
          <t>Active</t>
        </is>
      </c>
      <c r="AB19" s="2" t="n"/>
      <c r="AC19" s="8" t="inlineStr">
        <is>
          <t>Navy satin-twill ribbon with a looped antique-gold picot cord worked along one edge over a run of scalloped gold discs. A quiet, tailored trim for pipings, plackets and dupatta edges. 9-metre reel.</t>
        </is>
      </c>
      <c r="AD19" s="8" t="n"/>
    </row>
    <row r="20" ht="56" customHeight="1">
      <c r="A20" s="2" t="n"/>
      <c r="B20" s="2" t="inlineStr">
        <is>
          <t>HA6790</t>
        </is>
      </c>
      <c r="C20" s="2" t="inlineStr">
        <is>
          <t>HA6790</t>
        </is>
      </c>
      <c r="D20" s="2" t="inlineStr">
        <is>
          <t>Coral Vine Embroidered Organza Ribbon</t>
        </is>
      </c>
      <c r="E20" s="2" t="inlineStr">
        <is>
          <t>TRESOR</t>
        </is>
      </c>
      <c r="F20" s="2" t="inlineStr">
        <is>
          <t>Laces</t>
        </is>
      </c>
      <c r="G20" s="2" t="inlineStr">
        <is>
          <t>Trim &amp; Edging</t>
        </is>
      </c>
      <c r="H20" s="2" t="inlineStr">
        <is>
          <t>Mixed</t>
        </is>
      </c>
      <c r="I20" s="2" t="inlineStr">
        <is>
          <t>bundle</t>
        </is>
      </c>
      <c r="J20" s="2" t="n">
        <v>9</v>
      </c>
      <c r="K20" s="3" t="n">
        <v>570</v>
      </c>
      <c r="L20" s="4" t="n">
        <v>985</v>
      </c>
      <c r="M20" s="4" t="n">
        <v>985</v>
      </c>
      <c r="N20" s="5">
        <f>IF(OR(K20="",L20=""),"",(L20-K20)/L20)</f>
        <v/>
      </c>
      <c r="O20" s="6" t="n">
        <v>0.05</v>
      </c>
      <c r="P20" s="2" t="n"/>
      <c r="Q20" s="2" t="n">
        <v>1</v>
      </c>
      <c r="R20" s="2" t="n">
        <v>1</v>
      </c>
      <c r="S20" s="2">
        <f>IF(Q20="","",IF(Q20&lt;=0,"OUT OF STOCK",IF(Q20&lt;=R20,"REORDER","OK")))</f>
        <v/>
      </c>
      <c r="T20" s="2">
        <f>IF(B20="","",SUMIFS('Stock Log'!$D$2:$D$600,'Stock Log'!$B$2:$B$600,B20))</f>
        <v/>
      </c>
      <c r="U20" s="2">
        <f>IF(B20="","",IF(T20=Q20,"OK","CHECK"))</f>
        <v/>
      </c>
      <c r="V20" s="7" t="inlineStr">
        <is>
          <t>2026-07-09</t>
        </is>
      </c>
      <c r="W20" s="2" t="inlineStr">
        <is>
          <t>Supplier A (rename me)</t>
        </is>
      </c>
      <c r="X20" s="2" t="inlineStr">
        <is>
          <t>https://tresorcouture.in/products/lace/HA6790.jpg</t>
        </is>
      </c>
      <c r="Y20" s="2" t="inlineStr">
        <is>
          <t>Studio</t>
        </is>
      </c>
      <c r="Z20" s="2" t="inlineStr">
        <is>
          <t>Yes</t>
        </is>
      </c>
      <c r="AA20" s="2" t="inlineStr">
        <is>
          <t>Active</t>
        </is>
      </c>
      <c r="AB20" s="2" t="n"/>
      <c r="AC20" s="8" t="inlineStr">
        <is>
          <t>A sheer champagne organza ribbon embroidered with a trailing coral-and-peach floral vine, dotted with seed pearls, gold bugle beads and crystal accents. Delicate enough for necklines and baby hems. 9-metre reel.</t>
        </is>
      </c>
      <c r="AD20" s="8" t="n"/>
    </row>
    <row r="21" ht="56" customHeight="1">
      <c r="A21" s="2" t="n"/>
      <c r="B21" s="2" t="inlineStr">
        <is>
          <t>HA6979</t>
        </is>
      </c>
      <c r="C21" s="2" t="inlineStr">
        <is>
          <t>HA6979</t>
        </is>
      </c>
      <c r="D21" s="2" t="inlineStr">
        <is>
          <t>Black &amp; Gold Jewelled Gimp Trim</t>
        </is>
      </c>
      <c r="E21" s="2" t="inlineStr">
        <is>
          <t>TRESOR</t>
        </is>
      </c>
      <c r="F21" s="2" t="inlineStr">
        <is>
          <t>Laces</t>
        </is>
      </c>
      <c r="G21" s="2" t="inlineStr">
        <is>
          <t>Trim &amp; Edging</t>
        </is>
      </c>
      <c r="H21" s="2" t="inlineStr">
        <is>
          <t>Mixed</t>
        </is>
      </c>
      <c r="I21" s="2" t="inlineStr">
        <is>
          <t>bundle</t>
        </is>
      </c>
      <c r="J21" s="2" t="n">
        <v>9</v>
      </c>
      <c r="K21" s="3" t="n">
        <v>260</v>
      </c>
      <c r="L21" s="4" t="n">
        <v>450</v>
      </c>
      <c r="M21" s="4" t="n">
        <v>450</v>
      </c>
      <c r="N21" s="5">
        <f>IF(OR(K21="",L21=""),"",(L21-K21)/L21)</f>
        <v/>
      </c>
      <c r="O21" s="6" t="n">
        <v>0.05</v>
      </c>
      <c r="P21" s="2" t="n"/>
      <c r="Q21" s="2" t="n">
        <v>1</v>
      </c>
      <c r="R21" s="2" t="n">
        <v>1</v>
      </c>
      <c r="S21" s="2">
        <f>IF(Q21="","",IF(Q21&lt;=0,"OUT OF STOCK",IF(Q21&lt;=R21,"REORDER","OK")))</f>
        <v/>
      </c>
      <c r="T21" s="2">
        <f>IF(B21="","",SUMIFS('Stock Log'!$D$2:$D$600,'Stock Log'!$B$2:$B$600,B21))</f>
        <v/>
      </c>
      <c r="U21" s="2">
        <f>IF(B21="","",IF(T21=Q21,"OK","CHECK"))</f>
        <v/>
      </c>
      <c r="V21" s="7" t="inlineStr">
        <is>
          <t>2026-07-09</t>
        </is>
      </c>
      <c r="W21" s="2" t="inlineStr">
        <is>
          <t>Supplier A (rename me)</t>
        </is>
      </c>
      <c r="X21" s="2" t="inlineStr">
        <is>
          <t>https://tresorcouture.in/products/lace/HA6979.jpg</t>
        </is>
      </c>
      <c r="Y21" s="2" t="inlineStr">
        <is>
          <t>Studio</t>
        </is>
      </c>
      <c r="Z21" s="2" t="inlineStr">
        <is>
          <t>Yes</t>
        </is>
      </c>
      <c r="AA21" s="2" t="inlineStr">
        <is>
          <t>Active</t>
        </is>
      </c>
      <c r="AB21" s="2" t="n"/>
      <c r="AC21" s="8" t="inlineStr">
        <is>
          <t>A black woven band where antique-gold cord loops frame amber and smoke crystals, alternating with small pearls — jewellery rendered as trim. Striking on velvet and festive black. 9-metre reel.</t>
        </is>
      </c>
      <c r="AD21" s="8" t="n"/>
    </row>
    <row r="22" ht="56" customHeight="1">
      <c r="A22" s="2" t="n"/>
      <c r="B22" s="2" t="inlineStr">
        <is>
          <t>HA6988</t>
        </is>
      </c>
      <c r="C22" s="2" t="inlineStr">
        <is>
          <t>HA6988</t>
        </is>
      </c>
      <c r="D22" s="2" t="inlineStr">
        <is>
          <t>Maroon Pearl Medallion Braid</t>
        </is>
      </c>
      <c r="E22" s="2" t="inlineStr">
        <is>
          <t>TRESOR</t>
        </is>
      </c>
      <c r="F22" s="2" t="inlineStr">
        <is>
          <t>Laces</t>
        </is>
      </c>
      <c r="G22" s="2" t="inlineStr">
        <is>
          <t>Trim &amp; Edging</t>
        </is>
      </c>
      <c r="H22" s="2" t="inlineStr">
        <is>
          <t>Mixed</t>
        </is>
      </c>
      <c r="I22" s="2" t="inlineStr">
        <is>
          <t>bundle</t>
        </is>
      </c>
      <c r="J22" s="2" t="n">
        <v>9</v>
      </c>
      <c r="K22" s="3" t="n">
        <v>520</v>
      </c>
      <c r="L22" s="4" t="n">
        <v>890</v>
      </c>
      <c r="M22" s="4" t="n">
        <v>890</v>
      </c>
      <c r="N22" s="5">
        <f>IF(OR(K22="",L22=""),"",(L22-K22)/L22)</f>
        <v/>
      </c>
      <c r="O22" s="6" t="n">
        <v>0.05</v>
      </c>
      <c r="P22" s="2" t="n"/>
      <c r="Q22" s="2" t="n">
        <v>1</v>
      </c>
      <c r="R22" s="2" t="n">
        <v>1</v>
      </c>
      <c r="S22" s="2">
        <f>IF(Q22="","",IF(Q22&lt;=0,"OUT OF STOCK",IF(Q22&lt;=R22,"REORDER","OK")))</f>
        <v/>
      </c>
      <c r="T22" s="2">
        <f>IF(B22="","",SUMIFS('Stock Log'!$D$2:$D$600,'Stock Log'!$B$2:$B$600,B22))</f>
        <v/>
      </c>
      <c r="U22" s="2">
        <f>IF(B22="","",IF(T22=Q22,"OK","CHECK"))</f>
        <v/>
      </c>
      <c r="V22" s="7" t="inlineStr">
        <is>
          <t>2026-07-09</t>
        </is>
      </c>
      <c r="W22" s="2" t="inlineStr">
        <is>
          <t>Supplier A (rename me)</t>
        </is>
      </c>
      <c r="X22" s="2" t="inlineStr">
        <is>
          <t>https://tresorcouture.in/products/lace/HA6988.jpg</t>
        </is>
      </c>
      <c r="Y22" s="2" t="inlineStr">
        <is>
          <t>Studio</t>
        </is>
      </c>
      <c r="Z22" s="2" t="inlineStr">
        <is>
          <t>Yes</t>
        </is>
      </c>
      <c r="AA22" s="2" t="inlineStr">
        <is>
          <t>Active</t>
        </is>
      </c>
      <c r="AB22" s="2" t="n"/>
      <c r="AC22" s="8" t="inlineStr">
        <is>
          <t>A maroon ground carrying gold crochet rings set with pearls down the centre, edged with a scalloped run of gold fans, each with its own pearl heart. Rich, temple-border colouring. 9-metre reel.</t>
        </is>
      </c>
      <c r="AD22" s="8" t="n"/>
    </row>
    <row r="23" ht="56" customHeight="1">
      <c r="A23" s="2" t="n"/>
      <c r="B23" s="2" t="inlineStr">
        <is>
          <t>HA7018</t>
        </is>
      </c>
      <c r="C23" s="2" t="inlineStr">
        <is>
          <t>HA7018</t>
        </is>
      </c>
      <c r="D23" s="2" t="inlineStr">
        <is>
          <t>Peach Daisy Chain Beaded Ribbon</t>
        </is>
      </c>
      <c r="E23" s="2" t="inlineStr">
        <is>
          <t>TRESOR</t>
        </is>
      </c>
      <c r="F23" s="2" t="inlineStr">
        <is>
          <t>Laces</t>
        </is>
      </c>
      <c r="G23" s="2" t="inlineStr">
        <is>
          <t>Trim &amp; Edging</t>
        </is>
      </c>
      <c r="H23" s="2" t="inlineStr">
        <is>
          <t>Mixed</t>
        </is>
      </c>
      <c r="I23" s="2" t="inlineStr">
        <is>
          <t>bundle</t>
        </is>
      </c>
      <c r="J23" s="2" t="n">
        <v>9</v>
      </c>
      <c r="K23" s="3" t="n">
        <v>780</v>
      </c>
      <c r="L23" s="4" t="n">
        <v>1350</v>
      </c>
      <c r="M23" s="4" t="n">
        <v>1350</v>
      </c>
      <c r="N23" s="5">
        <f>IF(OR(K23="",L23=""),"",(L23-K23)/L23)</f>
        <v/>
      </c>
      <c r="O23" s="6" t="n">
        <v>0.05</v>
      </c>
      <c r="P23" s="2" t="n"/>
      <c r="Q23" s="2" t="n">
        <v>1</v>
      </c>
      <c r="R23" s="2" t="n">
        <v>1</v>
      </c>
      <c r="S23" s="2">
        <f>IF(Q23="","",IF(Q23&lt;=0,"OUT OF STOCK",IF(Q23&lt;=R23,"REORDER","OK")))</f>
        <v/>
      </c>
      <c r="T23" s="2">
        <f>IF(B23="","",SUMIFS('Stock Log'!$D$2:$D$600,'Stock Log'!$B$2:$B$600,B23))</f>
        <v/>
      </c>
      <c r="U23" s="2">
        <f>IF(B23="","",IF(T23=Q23,"OK","CHECK"))</f>
        <v/>
      </c>
      <c r="V23" s="7" t="inlineStr">
        <is>
          <t>2026-07-09</t>
        </is>
      </c>
      <c r="W23" s="2" t="inlineStr">
        <is>
          <t>Supplier A (rename me)</t>
        </is>
      </c>
      <c r="X23" s="2" t="inlineStr">
        <is>
          <t>https://tresorcouture.in/products/lace/HA7018.jpg</t>
        </is>
      </c>
      <c r="Y23" s="2" t="inlineStr">
        <is>
          <t>Studio</t>
        </is>
      </c>
      <c r="Z23" s="2" t="inlineStr">
        <is>
          <t>Yes</t>
        </is>
      </c>
      <c r="AA23" s="2" t="inlineStr">
        <is>
          <t>Active</t>
        </is>
      </c>
      <c r="AB23" s="2" t="n"/>
      <c r="AC23" s="8" t="inlineStr">
        <is>
          <t>Sheer peach organza carrying a gold beaded vine: daisy medallions with olive thread centres, crystal teardrops, pearl sprays and bugle-bead leaves. Sweet without being sugary. 9-metre reel.</t>
        </is>
      </c>
      <c r="AD23" s="8" t="n"/>
    </row>
    <row r="24" ht="56" customHeight="1">
      <c r="A24" s="2" t="n"/>
      <c r="B24" s="2" t="inlineStr">
        <is>
          <t>MI263</t>
        </is>
      </c>
      <c r="C24" s="2" t="inlineStr">
        <is>
          <t>MI263</t>
        </is>
      </c>
      <c r="D24" s="2" t="inlineStr">
        <is>
          <t>Champagne Mirror-Work Trim</t>
        </is>
      </c>
      <c r="E24" s="2" t="inlineStr">
        <is>
          <t>TRESOR</t>
        </is>
      </c>
      <c r="F24" s="2" t="inlineStr">
        <is>
          <t>Laces</t>
        </is>
      </c>
      <c r="G24" s="2" t="inlineStr">
        <is>
          <t>Trim &amp; Edging</t>
        </is>
      </c>
      <c r="H24" s="2" t="inlineStr">
        <is>
          <t>Mixed</t>
        </is>
      </c>
      <c r="I24" s="2" t="inlineStr">
        <is>
          <t>bundle</t>
        </is>
      </c>
      <c r="J24" s="2" t="n">
        <v>18</v>
      </c>
      <c r="K24" s="3" t="n">
        <v>260</v>
      </c>
      <c r="L24" s="4" t="n">
        <v>450</v>
      </c>
      <c r="M24" s="4" t="n">
        <v>450</v>
      </c>
      <c r="N24" s="5">
        <f>IF(OR(K24="",L24=""),"",(L24-K24)/L24)</f>
        <v/>
      </c>
      <c r="O24" s="6" t="n">
        <v>0.05</v>
      </c>
      <c r="P24" s="2" t="n"/>
      <c r="Q24" s="2" t="n">
        <v>1</v>
      </c>
      <c r="R24" s="2" t="n">
        <v>1</v>
      </c>
      <c r="S24" s="2">
        <f>IF(Q24="","",IF(Q24&lt;=0,"OUT OF STOCK",IF(Q24&lt;=R24,"REORDER","OK")))</f>
        <v/>
      </c>
      <c r="T24" s="2">
        <f>IF(B24="","",SUMIFS('Stock Log'!$D$2:$D$600,'Stock Log'!$B$2:$B$600,B24))</f>
        <v/>
      </c>
      <c r="U24" s="2">
        <f>IF(B24="","",IF(T24=Q24,"OK","CHECK"))</f>
        <v/>
      </c>
      <c r="V24" s="7" t="inlineStr">
        <is>
          <t>2026-07-09</t>
        </is>
      </c>
      <c r="W24" s="2" t="inlineStr">
        <is>
          <t>Supplier A (rename me)</t>
        </is>
      </c>
      <c r="X24" s="2" t="inlineStr">
        <is>
          <t>https://tresorcouture.in/products/lace/MI263.jpg</t>
        </is>
      </c>
      <c r="Y24" s="2" t="inlineStr">
        <is>
          <t>Needs reshoot</t>
        </is>
      </c>
      <c r="Z24" s="2" t="inlineStr">
        <is>
          <t>Yes</t>
        </is>
      </c>
      <c r="AA24" s="2" t="inlineStr">
        <is>
          <t>Active</t>
        </is>
      </c>
      <c r="AB24" s="2" t="n"/>
      <c r="AC24" s="8" t="inlineStr">
        <is>
          <t>Rows of small round mirrors set on champagne-gold braid — classic shisha sparkle by the metre for ghagras, jackets and festive borders. Generous 18-metre reel.</t>
        </is>
      </c>
      <c r="AD24" s="8" t="inlineStr">
        <is>
          <t>Reshoot flagged — warehouse snapshot</t>
        </is>
      </c>
    </row>
    <row r="25" ht="56" customHeight="1">
      <c r="A25" s="2" t="n"/>
      <c r="B25" s="2" t="inlineStr">
        <is>
          <t>MO2029</t>
        </is>
      </c>
      <c r="C25" s="2" t="inlineStr">
        <is>
          <t>MO2029</t>
        </is>
      </c>
      <c r="D25" s="2" t="inlineStr">
        <is>
          <t>Cream Crystal Drop Fringe</t>
        </is>
      </c>
      <c r="E25" s="2" t="inlineStr">
        <is>
          <t>TRESOR</t>
        </is>
      </c>
      <c r="F25" s="2" t="inlineStr">
        <is>
          <t>Laces</t>
        </is>
      </c>
      <c r="G25" s="2" t="inlineStr">
        <is>
          <t>Trim &amp; Edging</t>
        </is>
      </c>
      <c r="H25" s="2" t="inlineStr">
        <is>
          <t>Mixed</t>
        </is>
      </c>
      <c r="I25" s="2" t="inlineStr">
        <is>
          <t>bundle</t>
        </is>
      </c>
      <c r="J25" s="2" t="n">
        <v>9</v>
      </c>
      <c r="K25" s="3" t="n">
        <v>1160</v>
      </c>
      <c r="L25" s="4" t="n">
        <v>2000</v>
      </c>
      <c r="M25" s="4" t="n">
        <v>2000</v>
      </c>
      <c r="N25" s="5">
        <f>IF(OR(K25="",L25=""),"",(L25-K25)/L25)</f>
        <v/>
      </c>
      <c r="O25" s="6" t="n">
        <v>0.05</v>
      </c>
      <c r="P25" s="2" t="n"/>
      <c r="Q25" s="2" t="n">
        <v>1</v>
      </c>
      <c r="R25" s="2" t="n">
        <v>1</v>
      </c>
      <c r="S25" s="2">
        <f>IF(Q25="","",IF(Q25&lt;=0,"OUT OF STOCK",IF(Q25&lt;=R25,"REORDER","OK")))</f>
        <v/>
      </c>
      <c r="T25" s="2">
        <f>IF(B25="","",SUMIFS('Stock Log'!$D$2:$D$600,'Stock Log'!$B$2:$B$600,B25))</f>
        <v/>
      </c>
      <c r="U25" s="2">
        <f>IF(B25="","",IF(T25=Q25,"OK","CHECK"))</f>
        <v/>
      </c>
      <c r="V25" s="7" t="inlineStr">
        <is>
          <t>2026-07-09</t>
        </is>
      </c>
      <c r="W25" s="2" t="inlineStr">
        <is>
          <t>Supplier A (rename me)</t>
        </is>
      </c>
      <c r="X25" s="2" t="inlineStr">
        <is>
          <t>https://tresorcouture.in/products/lace/MO2029.jpg</t>
        </is>
      </c>
      <c r="Y25" s="2" t="inlineStr">
        <is>
          <t>Studio</t>
        </is>
      </c>
      <c r="Z25" s="2" t="inlineStr">
        <is>
          <t>Yes</t>
        </is>
      </c>
      <c r="AA25" s="2" t="inlineStr">
        <is>
          <t>Active</t>
        </is>
      </c>
      <c r="AB25" s="2" t="n"/>
      <c r="AC25" s="8" t="inlineStr">
        <is>
          <t>A pale cream tulle header strung with pearls, dropping short tassels of faceted crystal and seed beads that swing as the wearer moves. For dupatta ends, blouse sleeves and hemlines that should move. 9-metre reel.</t>
        </is>
      </c>
      <c r="AD25" s="8" t="n"/>
    </row>
    <row r="26" ht="56" customHeight="1">
      <c r="A26" s="2" t="n"/>
      <c r="B26" s="2" t="inlineStr">
        <is>
          <t>MO3188</t>
        </is>
      </c>
      <c r="C26" s="2" t="inlineStr">
        <is>
          <t>MO3188</t>
        </is>
      </c>
      <c r="D26" s="2" t="inlineStr">
        <is>
          <t>Antique Gold Filigree Lattice Braid</t>
        </is>
      </c>
      <c r="E26" s="2" t="inlineStr">
        <is>
          <t>TRESOR</t>
        </is>
      </c>
      <c r="F26" s="2" t="inlineStr">
        <is>
          <t>Laces</t>
        </is>
      </c>
      <c r="G26" s="2" t="inlineStr">
        <is>
          <t>Trim &amp; Edging</t>
        </is>
      </c>
      <c r="H26" s="2" t="inlineStr">
        <is>
          <t>Mixed</t>
        </is>
      </c>
      <c r="I26" s="2" t="inlineStr">
        <is>
          <t>bundle</t>
        </is>
      </c>
      <c r="J26" s="2" t="n">
        <v>18</v>
      </c>
      <c r="K26" s="3" t="n">
        <v>560</v>
      </c>
      <c r="L26" s="4" t="n">
        <v>960</v>
      </c>
      <c r="M26" s="4" t="n">
        <v>960</v>
      </c>
      <c r="N26" s="5">
        <f>IF(OR(K26="",L26=""),"",(L26-K26)/L26)</f>
        <v/>
      </c>
      <c r="O26" s="6" t="n">
        <v>0.05</v>
      </c>
      <c r="P26" s="2" t="n"/>
      <c r="Q26" s="2" t="n">
        <v>1</v>
      </c>
      <c r="R26" s="2" t="n">
        <v>1</v>
      </c>
      <c r="S26" s="2">
        <f>IF(Q26="","",IF(Q26&lt;=0,"OUT OF STOCK",IF(Q26&lt;=R26,"REORDER","OK")))</f>
        <v/>
      </c>
      <c r="T26" s="2">
        <f>IF(B26="","",SUMIFS('Stock Log'!$D$2:$D$600,'Stock Log'!$B$2:$B$600,B26))</f>
        <v/>
      </c>
      <c r="U26" s="2">
        <f>IF(B26="","",IF(T26=Q26,"OK","CHECK"))</f>
        <v/>
      </c>
      <c r="V26" s="7" t="inlineStr">
        <is>
          <t>2026-07-09</t>
        </is>
      </c>
      <c r="W26" s="2" t="inlineStr">
        <is>
          <t>Supplier A (rename me)</t>
        </is>
      </c>
      <c r="X26" s="2" t="inlineStr">
        <is>
          <t>https://tresorcouture.in/products/lace/MO3188.jpg</t>
        </is>
      </c>
      <c r="Y26" s="2" t="inlineStr">
        <is>
          <t>Studio</t>
        </is>
      </c>
      <c r="Z26" s="2" t="inlineStr">
        <is>
          <t>Yes</t>
        </is>
      </c>
      <c r="AA26" s="2" t="inlineStr">
        <is>
          <t>Active</t>
        </is>
      </c>
      <c r="AB26" s="2" t="n"/>
      <c r="AC26" s="8" t="inlineStr">
        <is>
          <t>A crocheted antique-gold braid worked in a crossing lattice, with pearls seated along the weave and a beaded selvedge. Reads as heirloom metalwork. 18-metre reel.</t>
        </is>
      </c>
      <c r="AD26" s="8" t="n"/>
    </row>
    <row r="27" ht="56" customHeight="1">
      <c r="A27" s="2" t="n"/>
      <c r="B27" s="2" t="inlineStr">
        <is>
          <t>MO3392</t>
        </is>
      </c>
      <c r="C27" s="2" t="inlineStr">
        <is>
          <t>MO3392</t>
        </is>
      </c>
      <c r="D27" s="2" t="inlineStr">
        <is>
          <t>Pearl Lattice Organza Trim · Silver</t>
        </is>
      </c>
      <c r="E27" s="2" t="inlineStr">
        <is>
          <t>TRESOR</t>
        </is>
      </c>
      <c r="F27" s="2" t="inlineStr">
        <is>
          <t>Laces</t>
        </is>
      </c>
      <c r="G27" s="2" t="inlineStr">
        <is>
          <t>Trim &amp; Edging</t>
        </is>
      </c>
      <c r="H27" s="2" t="inlineStr">
        <is>
          <t>Mixed</t>
        </is>
      </c>
      <c r="I27" s="2" t="inlineStr">
        <is>
          <t>bundle</t>
        </is>
      </c>
      <c r="J27" s="2" t="n">
        <v>7</v>
      </c>
      <c r="K27" s="3" t="n">
        <v>930</v>
      </c>
      <c r="L27" s="4" t="n">
        <v>1599</v>
      </c>
      <c r="M27" s="4" t="n">
        <v>1599</v>
      </c>
      <c r="N27" s="5">
        <f>IF(OR(K27="",L27=""),"",(L27-K27)/L27)</f>
        <v/>
      </c>
      <c r="O27" s="6" t="n">
        <v>0.05</v>
      </c>
      <c r="P27" s="2" t="n"/>
      <c r="Q27" s="2" t="n">
        <v>1</v>
      </c>
      <c r="R27" s="2" t="n">
        <v>1</v>
      </c>
      <c r="S27" s="2">
        <f>IF(Q27="","",IF(Q27&lt;=0,"OUT OF STOCK",IF(Q27&lt;=R27,"REORDER","OK")))</f>
        <v/>
      </c>
      <c r="T27" s="2">
        <f>IF(B27="","",SUMIFS('Stock Log'!$D$2:$D$600,'Stock Log'!$B$2:$B$600,B27))</f>
        <v/>
      </c>
      <c r="U27" s="2">
        <f>IF(B27="","",IF(T27=Q27,"OK","CHECK"))</f>
        <v/>
      </c>
      <c r="V27" s="7" t="inlineStr">
        <is>
          <t>2026-07-09</t>
        </is>
      </c>
      <c r="W27" s="2" t="inlineStr">
        <is>
          <t>Supplier A (rename me)</t>
        </is>
      </c>
      <c r="X27" s="2" t="inlineStr">
        <is>
          <t>https://tresorcouture.in/products/lace/MO3392.jpg</t>
        </is>
      </c>
      <c r="Y27" s="2" t="inlineStr">
        <is>
          <t>Studio</t>
        </is>
      </c>
      <c r="Z27" s="2" t="inlineStr">
        <is>
          <t>Yes</t>
        </is>
      </c>
      <c r="AA27" s="2" t="inlineStr">
        <is>
          <t>Active</t>
        </is>
      </c>
      <c r="AB27" s="2" t="n"/>
      <c r="AC27" s="8" t="inlineStr">
        <is>
          <t>A sheer organza ribbon carrying a crisscross lattice of silver bugle beads with a full pearl string along one edge — bridal-white sparkle with real structure. 7-metre reel.</t>
        </is>
      </c>
      <c r="AD27" s="8" t="n"/>
    </row>
    <row r="28" ht="56" customHeight="1">
      <c r="A28" s="2" t="n"/>
      <c r="B28" s="2" t="inlineStr">
        <is>
          <t>MO3650</t>
        </is>
      </c>
      <c r="C28" s="2" t="inlineStr">
        <is>
          <t>MO3650</t>
        </is>
      </c>
      <c r="D28" s="2" t="inlineStr">
        <is>
          <t>Champagne Teardrop Crystal Fringe</t>
        </is>
      </c>
      <c r="E28" s="2" t="inlineStr">
        <is>
          <t>TRESOR</t>
        </is>
      </c>
      <c r="F28" s="2" t="inlineStr">
        <is>
          <t>Laces</t>
        </is>
      </c>
      <c r="G28" s="2" t="inlineStr">
        <is>
          <t>Trim &amp; Edging</t>
        </is>
      </c>
      <c r="H28" s="2" t="inlineStr">
        <is>
          <t>Mixed</t>
        </is>
      </c>
      <c r="I28" s="2" t="inlineStr">
        <is>
          <t>bundle</t>
        </is>
      </c>
      <c r="J28" s="2" t="n">
        <v>9</v>
      </c>
      <c r="K28" s="3" t="n">
        <v>1390</v>
      </c>
      <c r="L28" s="4" t="n">
        <v>2400</v>
      </c>
      <c r="M28" s="4" t="n">
        <v>2400</v>
      </c>
      <c r="N28" s="5">
        <f>IF(OR(K28="",L28=""),"",(L28-K28)/L28)</f>
        <v/>
      </c>
      <c r="O28" s="6" t="n">
        <v>0.05</v>
      </c>
      <c r="P28" s="2" t="n"/>
      <c r="Q28" s="2" t="n">
        <v>1</v>
      </c>
      <c r="R28" s="2" t="n">
        <v>1</v>
      </c>
      <c r="S28" s="2">
        <f>IF(Q28="","",IF(Q28&lt;=0,"OUT OF STOCK",IF(Q28&lt;=R28,"REORDER","OK")))</f>
        <v/>
      </c>
      <c r="T28" s="2">
        <f>IF(B28="","",SUMIFS('Stock Log'!$D$2:$D$600,'Stock Log'!$B$2:$B$600,B28))</f>
        <v/>
      </c>
      <c r="U28" s="2">
        <f>IF(B28="","",IF(T28=Q28,"OK","CHECK"))</f>
        <v/>
      </c>
      <c r="V28" s="7" t="inlineStr">
        <is>
          <t>2026-07-09</t>
        </is>
      </c>
      <c r="W28" s="2" t="inlineStr">
        <is>
          <t>Supplier A (rename me)</t>
        </is>
      </c>
      <c r="X28" s="2" t="inlineStr">
        <is>
          <t>https://tresorcouture.in/products/lace/MO3650.jpg</t>
        </is>
      </c>
      <c r="Y28" s="2" t="inlineStr">
        <is>
          <t>Studio</t>
        </is>
      </c>
      <c r="Z28" s="2" t="inlineStr">
        <is>
          <t>Yes</t>
        </is>
      </c>
      <c r="AA28" s="2" t="inlineStr">
        <is>
          <t>Active</t>
        </is>
      </c>
      <c r="AB28" s="2" t="n"/>
      <c r="AC28" s="8" t="inlineStr">
        <is>
          <t>Faceted champagne teardrop crystals hang from beaded stems along a sheer organza header — a fine chandelier fringe for dupatta ends and saree pallus. 9-metre reel.</t>
        </is>
      </c>
      <c r="AD28" s="8" t="n"/>
    </row>
    <row r="29" ht="56" customHeight="1">
      <c r="A29" s="2" t="n"/>
      <c r="B29" s="2" t="inlineStr">
        <is>
          <t>MO3857</t>
        </is>
      </c>
      <c r="C29" s="2" t="inlineStr">
        <is>
          <t>MO3857</t>
        </is>
      </c>
      <c r="D29" s="2" t="inlineStr">
        <is>
          <t>Sage Petal Drop Edging</t>
        </is>
      </c>
      <c r="E29" s="2" t="inlineStr">
        <is>
          <t>TRESOR</t>
        </is>
      </c>
      <c r="F29" s="2" t="inlineStr">
        <is>
          <t>Laces</t>
        </is>
      </c>
      <c r="G29" s="2" t="inlineStr">
        <is>
          <t>Trim &amp; Edging</t>
        </is>
      </c>
      <c r="H29" s="2" t="inlineStr">
        <is>
          <t>Mixed</t>
        </is>
      </c>
      <c r="I29" s="2" t="inlineStr">
        <is>
          <t>bundle</t>
        </is>
      </c>
      <c r="J29" s="2" t="n">
        <v>9</v>
      </c>
      <c r="K29" s="3" t="n">
        <v>1330</v>
      </c>
      <c r="L29" s="4" t="n">
        <v>2300</v>
      </c>
      <c r="M29" s="4" t="n">
        <v>2300</v>
      </c>
      <c r="N29" s="5">
        <f>IF(OR(K29="",L29=""),"",(L29-K29)/L29)</f>
        <v/>
      </c>
      <c r="O29" s="6" t="n">
        <v>0.05</v>
      </c>
      <c r="P29" s="2" t="n"/>
      <c r="Q29" s="2" t="n">
        <v>1</v>
      </c>
      <c r="R29" s="2" t="n">
        <v>1</v>
      </c>
      <c r="S29" s="2">
        <f>IF(Q29="","",IF(Q29&lt;=0,"OUT OF STOCK",IF(Q29&lt;=R29,"REORDER","OK")))</f>
        <v/>
      </c>
      <c r="T29" s="2">
        <f>IF(B29="","",SUMIFS('Stock Log'!$D$2:$D$600,'Stock Log'!$B$2:$B$600,B29))</f>
        <v/>
      </c>
      <c r="U29" s="2">
        <f>IF(B29="","",IF(T29=Q29,"OK","CHECK"))</f>
        <v/>
      </c>
      <c r="V29" s="7" t="inlineStr">
        <is>
          <t>2026-07-09</t>
        </is>
      </c>
      <c r="W29" s="2" t="inlineStr">
        <is>
          <t>Supplier A (rename me)</t>
        </is>
      </c>
      <c r="X29" s="2" t="inlineStr">
        <is>
          <t>https://tresorcouture.in/products/lace/MO3857.jpg</t>
        </is>
      </c>
      <c r="Y29" s="2" t="inlineStr">
        <is>
          <t>Studio</t>
        </is>
      </c>
      <c r="Z29" s="2" t="inlineStr">
        <is>
          <t>Yes</t>
        </is>
      </c>
      <c r="AA29" s="2" t="inlineStr">
        <is>
          <t>Active</t>
        </is>
      </c>
      <c r="AB29" s="2" t="n"/>
      <c r="AC29" s="8" t="inlineStr">
        <is>
          <t>A sage-green net edging with a short beaded fringe: clear crystal drops finished with tiny sequin petals in sage, mint and lilac. Subtle movement for pastel palettes. 9-metre reel.</t>
        </is>
      </c>
      <c r="AD29" s="8" t="n"/>
    </row>
    <row r="30" ht="56" customHeight="1">
      <c r="A30" s="2" t="n"/>
      <c r="B30" s="2" t="inlineStr">
        <is>
          <t>RI280</t>
        </is>
      </c>
      <c r="C30" s="2" t="inlineStr">
        <is>
          <t>RI280</t>
        </is>
      </c>
      <c r="D30" s="2" t="inlineStr">
        <is>
          <t>Taupe Picot Lattice Ribbon</t>
        </is>
      </c>
      <c r="E30" s="2" t="inlineStr">
        <is>
          <t>TRESOR</t>
        </is>
      </c>
      <c r="F30" s="2" t="inlineStr">
        <is>
          <t>Laces</t>
        </is>
      </c>
      <c r="G30" s="2" t="inlineStr">
        <is>
          <t>Trim &amp; Edging</t>
        </is>
      </c>
      <c r="H30" s="2" t="inlineStr">
        <is>
          <t>Mixed</t>
        </is>
      </c>
      <c r="I30" s="2" t="inlineStr">
        <is>
          <t>bundle</t>
        </is>
      </c>
      <c r="J30" s="2" t="n">
        <v>9</v>
      </c>
      <c r="K30" s="3" t="n">
        <v>140</v>
      </c>
      <c r="L30" s="4" t="n">
        <v>250</v>
      </c>
      <c r="M30" s="4" t="n">
        <v>250</v>
      </c>
      <c r="N30" s="5">
        <f>IF(OR(K30="",L30=""),"",(L30-K30)/L30)</f>
        <v/>
      </c>
      <c r="O30" s="6" t="n">
        <v>0.05</v>
      </c>
      <c r="P30" s="2" t="n"/>
      <c r="Q30" s="2" t="n">
        <v>1</v>
      </c>
      <c r="R30" s="2" t="n">
        <v>1</v>
      </c>
      <c r="S30" s="2">
        <f>IF(Q30="","",IF(Q30&lt;=0,"OUT OF STOCK",IF(Q30&lt;=R30,"REORDER","OK")))</f>
        <v/>
      </c>
      <c r="T30" s="2">
        <f>IF(B30="","",SUMIFS('Stock Log'!$D$2:$D$600,'Stock Log'!$B$2:$B$600,B30))</f>
        <v/>
      </c>
      <c r="U30" s="2">
        <f>IF(B30="","",IF(T30=Q30,"OK","CHECK"))</f>
        <v/>
      </c>
      <c r="V30" s="7" t="inlineStr">
        <is>
          <t>2026-07-09</t>
        </is>
      </c>
      <c r="W30" s="2" t="inlineStr">
        <is>
          <t>Supplier A (rename me)</t>
        </is>
      </c>
      <c r="X30" s="2" t="inlineStr">
        <is>
          <t>https://tresorcouture.in/products/lace/RI280.jpg</t>
        </is>
      </c>
      <c r="Y30" s="2" t="inlineStr">
        <is>
          <t>Studio</t>
        </is>
      </c>
      <c r="Z30" s="2" t="inlineStr">
        <is>
          <t>Yes</t>
        </is>
      </c>
      <c r="AA30" s="2" t="inlineStr">
        <is>
          <t>Active</t>
        </is>
      </c>
      <c r="AB30" s="2" t="n"/>
      <c r="AC30" s="8" t="inlineStr">
        <is>
          <t>A slim woven ribbon in taupe and old-gold with a pin-dot lattice centre and scalloped picot edges — an understated finishing trim for pipings and inner facings. 9-metre reel.</t>
        </is>
      </c>
      <c r="AD30" s="8" t="n"/>
    </row>
    <row r="31" ht="56" customHeight="1">
      <c r="A31" s="2" t="n"/>
      <c r="B31" s="2" t="inlineStr">
        <is>
          <t>RI4680</t>
        </is>
      </c>
      <c r="C31" s="2" t="inlineStr">
        <is>
          <t>RI4680</t>
        </is>
      </c>
      <c r="D31" s="2" t="inlineStr">
        <is>
          <t>Silver Braided Cord Trim</t>
        </is>
      </c>
      <c r="E31" s="2" t="inlineStr">
        <is>
          <t>TRESOR</t>
        </is>
      </c>
      <c r="F31" s="2" t="inlineStr">
        <is>
          <t>Laces</t>
        </is>
      </c>
      <c r="G31" s="2" t="inlineStr">
        <is>
          <t>Trim &amp; Edging</t>
        </is>
      </c>
      <c r="H31" s="2" t="inlineStr">
        <is>
          <t>Mixed</t>
        </is>
      </c>
      <c r="I31" s="2" t="inlineStr">
        <is>
          <t>bundle</t>
        </is>
      </c>
      <c r="J31" s="2" t="n">
        <v>9</v>
      </c>
      <c r="K31" s="3" t="n">
        <v>170</v>
      </c>
      <c r="L31" s="4" t="n">
        <v>300</v>
      </c>
      <c r="M31" s="4" t="n">
        <v>300</v>
      </c>
      <c r="N31" s="5">
        <f>IF(OR(K31="",L31=""),"",(L31-K31)/L31)</f>
        <v/>
      </c>
      <c r="O31" s="6" t="n">
        <v>0.05</v>
      </c>
      <c r="P31" s="2" t="n"/>
      <c r="Q31" s="2" t="n">
        <v>1</v>
      </c>
      <c r="R31" s="2" t="n">
        <v>1</v>
      </c>
      <c r="S31" s="2">
        <f>IF(Q31="","",IF(Q31&lt;=0,"OUT OF STOCK",IF(Q31&lt;=R31,"REORDER","OK")))</f>
        <v/>
      </c>
      <c r="T31" s="2">
        <f>IF(B31="","",SUMIFS('Stock Log'!$D$2:$D$600,'Stock Log'!$B$2:$B$600,B31))</f>
        <v/>
      </c>
      <c r="U31" s="2">
        <f>IF(B31="","",IF(T31=Q31,"OK","CHECK"))</f>
        <v/>
      </c>
      <c r="V31" s="7" t="inlineStr">
        <is>
          <t>2026-07-09</t>
        </is>
      </c>
      <c r="W31" s="2" t="inlineStr">
        <is>
          <t>Supplier A (rename me)</t>
        </is>
      </c>
      <c r="X31" s="2" t="inlineStr">
        <is>
          <t>https://tresorcouture.in/products/lace/RI4680.jpg</t>
        </is>
      </c>
      <c r="Y31" s="2" t="inlineStr">
        <is>
          <t>Studio</t>
        </is>
      </c>
      <c r="Z31" s="2" t="inlineStr">
        <is>
          <t>Yes</t>
        </is>
      </c>
      <c r="AA31" s="2" t="inlineStr">
        <is>
          <t>Active</t>
        </is>
      </c>
      <c r="AB31" s="2" t="n"/>
      <c r="AC31" s="8" t="inlineStr">
        <is>
          <t>A plaited silver cord braid with a fine chain edge — clean metallic structure for necklines, cuffs and sharp modern borders. 9-metre reel.</t>
        </is>
      </c>
      <c r="AD31" s="8" t="n"/>
    </row>
    <row r="32" ht="56" customHeight="1">
      <c r="A32" s="2" t="n"/>
      <c r="B32" s="2" t="inlineStr">
        <is>
          <t>RI5687</t>
        </is>
      </c>
      <c r="C32" s="2" t="inlineStr">
        <is>
          <t>RI5687</t>
        </is>
      </c>
      <c r="D32" s="2" t="inlineStr">
        <is>
          <t>Champagne Pearl Chain Trim</t>
        </is>
      </c>
      <c r="E32" s="2" t="inlineStr">
        <is>
          <t>TRESOR</t>
        </is>
      </c>
      <c r="F32" s="2" t="inlineStr">
        <is>
          <t>Laces</t>
        </is>
      </c>
      <c r="G32" s="2" t="inlineStr">
        <is>
          <t>Trim &amp; Edging</t>
        </is>
      </c>
      <c r="H32" s="2" t="inlineStr">
        <is>
          <t>Mixed</t>
        </is>
      </c>
      <c r="I32" s="2" t="inlineStr">
        <is>
          <t>bundle</t>
        </is>
      </c>
      <c r="J32" s="2" t="n">
        <v>30</v>
      </c>
      <c r="K32" s="3" t="n">
        <v>160</v>
      </c>
      <c r="L32" s="4" t="n">
        <v>280</v>
      </c>
      <c r="M32" s="4" t="n">
        <v>280</v>
      </c>
      <c r="N32" s="5">
        <f>IF(OR(K32="",L32=""),"",(L32-K32)/L32)</f>
        <v/>
      </c>
      <c r="O32" s="6" t="n">
        <v>0.05</v>
      </c>
      <c r="P32" s="2" t="n"/>
      <c r="Q32" s="2" t="n">
        <v>1</v>
      </c>
      <c r="R32" s="2" t="n">
        <v>1</v>
      </c>
      <c r="S32" s="2">
        <f>IF(Q32="","",IF(Q32&lt;=0,"OUT OF STOCK",IF(Q32&lt;=R32,"REORDER","OK")))</f>
        <v/>
      </c>
      <c r="T32" s="2">
        <f>IF(B32="","",SUMIFS('Stock Log'!$D$2:$D$600,'Stock Log'!$B$2:$B$600,B32))</f>
        <v/>
      </c>
      <c r="U32" s="2">
        <f>IF(B32="","",IF(T32=Q32,"OK","CHECK"))</f>
        <v/>
      </c>
      <c r="V32" s="7" t="inlineStr">
        <is>
          <t>2026-07-09</t>
        </is>
      </c>
      <c r="W32" s="2" t="inlineStr">
        <is>
          <t>Supplier A (rename me)</t>
        </is>
      </c>
      <c r="X32" s="2" t="inlineStr">
        <is>
          <t>https://tresorcouture.in/products/lace/RI5687.jpg</t>
        </is>
      </c>
      <c r="Y32" s="2" t="inlineStr">
        <is>
          <t>Needs reshoot</t>
        </is>
      </c>
      <c r="Z32" s="2" t="inlineStr">
        <is>
          <t>Yes</t>
        </is>
      </c>
      <c r="AA32" s="2" t="inlineStr">
        <is>
          <t>Active</t>
        </is>
      </c>
      <c r="AB32" s="2" t="n"/>
      <c r="AC32" s="8" t="inlineStr">
        <is>
          <t>A fine champagne-gold chain trim strung with seed pearls — a delicate running accent for edges and layering over wider borders. Supplied on a generous 30-metre roll.</t>
        </is>
      </c>
      <c r="AD32" s="8" t="inlineStr">
        <is>
          <t>Reshoot flagged — warehouse snapshot</t>
        </is>
      </c>
    </row>
    <row r="33" ht="56" customHeight="1">
      <c r="A33" s="2" t="n"/>
      <c r="B33" s="2" t="inlineStr">
        <is>
          <t>RI5839</t>
        </is>
      </c>
      <c r="C33" s="2" t="inlineStr">
        <is>
          <t>RI5839</t>
        </is>
      </c>
      <c r="D33" s="2" t="inlineStr">
        <is>
          <t>Gold Pyramid Stud &amp; Wave Braid</t>
        </is>
      </c>
      <c r="E33" s="2" t="inlineStr">
        <is>
          <t>TRESOR</t>
        </is>
      </c>
      <c r="F33" s="2" t="inlineStr">
        <is>
          <t>Laces</t>
        </is>
      </c>
      <c r="G33" s="2" t="inlineStr">
        <is>
          <t>Trim &amp; Edging</t>
        </is>
      </c>
      <c r="H33" s="2" t="inlineStr">
        <is>
          <t>Mixed</t>
        </is>
      </c>
      <c r="I33" s="2" t="inlineStr">
        <is>
          <t>bundle</t>
        </is>
      </c>
      <c r="J33" s="2" t="n">
        <v>18</v>
      </c>
      <c r="K33" s="3" t="n">
        <v>130</v>
      </c>
      <c r="L33" s="4" t="n">
        <v>230</v>
      </c>
      <c r="M33" s="4" t="n">
        <v>230</v>
      </c>
      <c r="N33" s="5">
        <f>IF(OR(K33="",L33=""),"",(L33-K33)/L33)</f>
        <v/>
      </c>
      <c r="O33" s="6" t="n">
        <v>0.05</v>
      </c>
      <c r="P33" s="2" t="n"/>
      <c r="Q33" s="2" t="n">
        <v>1</v>
      </c>
      <c r="R33" s="2" t="n">
        <v>1</v>
      </c>
      <c r="S33" s="2">
        <f>IF(Q33="","",IF(Q33&lt;=0,"OUT OF STOCK",IF(Q33&lt;=R33,"REORDER","OK")))</f>
        <v/>
      </c>
      <c r="T33" s="2">
        <f>IF(B33="","",SUMIFS('Stock Log'!$D$2:$D$600,'Stock Log'!$B$2:$B$600,B33))</f>
        <v/>
      </c>
      <c r="U33" s="2">
        <f>IF(B33="","",IF(T33=Q33,"OK","CHECK"))</f>
        <v/>
      </c>
      <c r="V33" s="7" t="inlineStr">
        <is>
          <t>2026-07-09</t>
        </is>
      </c>
      <c r="W33" s="2" t="inlineStr">
        <is>
          <t>Supplier A (rename me)</t>
        </is>
      </c>
      <c r="X33" s="2" t="inlineStr">
        <is>
          <t>https://tresorcouture.in/products/lace/RI5839.jpg</t>
        </is>
      </c>
      <c r="Y33" s="2" t="inlineStr">
        <is>
          <t>Studio</t>
        </is>
      </c>
      <c r="Z33" s="2" t="inlineStr">
        <is>
          <t>Yes</t>
        </is>
      </c>
      <c r="AA33" s="2" t="inlineStr">
        <is>
          <t>Active</t>
        </is>
      </c>
      <c r="AB33" s="2" t="n"/>
      <c r="AC33" s="8" t="inlineStr">
        <is>
          <t>Two gold trims in one band: a row of faceted pyramid studs beside a scalloped wave braid worked in metallic thread. Architectural shine for waistbands and borders. 18-metre reel.</t>
        </is>
      </c>
      <c r="AD33" s="8" t="n"/>
    </row>
    <row r="34" ht="56" customHeight="1">
      <c r="A34" s="2" t="n"/>
      <c r="B34" s="2" t="inlineStr">
        <is>
          <t>ST3382</t>
        </is>
      </c>
      <c r="C34" s="2" t="inlineStr">
        <is>
          <t>ST3382</t>
        </is>
      </c>
      <c r="D34" s="2" t="inlineStr">
        <is>
          <t>Citrine Crystal Encrusted Band</t>
        </is>
      </c>
      <c r="E34" s="2" t="inlineStr">
        <is>
          <t>TRESOR</t>
        </is>
      </c>
      <c r="F34" s="2" t="inlineStr">
        <is>
          <t>Laces</t>
        </is>
      </c>
      <c r="G34" s="2" t="inlineStr">
        <is>
          <t>Trim &amp; Edging</t>
        </is>
      </c>
      <c r="H34" s="2" t="inlineStr">
        <is>
          <t>Mixed</t>
        </is>
      </c>
      <c r="I34" s="2" t="inlineStr">
        <is>
          <t>bundle</t>
        </is>
      </c>
      <c r="J34" s="2" t="n">
        <v>9</v>
      </c>
      <c r="K34" s="3" t="n">
        <v>930</v>
      </c>
      <c r="L34" s="4" t="n">
        <v>1599</v>
      </c>
      <c r="M34" s="4" t="n">
        <v>1599</v>
      </c>
      <c r="N34" s="5">
        <f>IF(OR(K34="",L34=""),"",(L34-K34)/L34)</f>
        <v/>
      </c>
      <c r="O34" s="6" t="n">
        <v>0.05</v>
      </c>
      <c r="P34" s="2" t="n"/>
      <c r="Q34" s="2" t="n">
        <v>1</v>
      </c>
      <c r="R34" s="2" t="n">
        <v>1</v>
      </c>
      <c r="S34" s="2">
        <f>IF(Q34="","",IF(Q34&lt;=0,"OUT OF STOCK",IF(Q34&lt;=R34,"REORDER","OK")))</f>
        <v/>
      </c>
      <c r="T34" s="2">
        <f>IF(B34="","",SUMIFS('Stock Log'!$D$2:$D$600,'Stock Log'!$B$2:$B$600,B34))</f>
        <v/>
      </c>
      <c r="U34" s="2">
        <f>IF(B34="","",IF(T34=Q34,"OK","CHECK"))</f>
        <v/>
      </c>
      <c r="V34" s="7" t="inlineStr">
        <is>
          <t>2026-07-09</t>
        </is>
      </c>
      <c r="W34" s="2" t="inlineStr">
        <is>
          <t>Supplier A (rename me)</t>
        </is>
      </c>
      <c r="X34" s="2" t="inlineStr">
        <is>
          <t>https://tresorcouture.in/products/lace/ST3382.jpg</t>
        </is>
      </c>
      <c r="Y34" s="2" t="inlineStr">
        <is>
          <t>Studio</t>
        </is>
      </c>
      <c r="Z34" s="2" t="inlineStr">
        <is>
          <t>Yes</t>
        </is>
      </c>
      <c r="AA34" s="2" t="inlineStr">
        <is>
          <t>Active</t>
        </is>
      </c>
      <c r="AB34" s="2" t="n"/>
      <c r="AC34" s="8" t="inlineStr">
        <is>
          <t>Five dense rows of citrine-gold rhinestones claw-set in metallic thread on silver net — a solid runway of stones for belts, borders and blouse straps. 9-metre reel.</t>
        </is>
      </c>
      <c r="AD34" s="8" t="n"/>
    </row>
    <row r="35" ht="56" customHeight="1">
      <c r="A35" s="2" t="n"/>
      <c r="B35" s="2" t="inlineStr">
        <is>
          <t>ST987</t>
        </is>
      </c>
      <c r="C35" s="2" t="inlineStr">
        <is>
          <t>ST987</t>
        </is>
      </c>
      <c r="D35" s="2" t="inlineStr">
        <is>
          <t>Gold Infinity Loop Pearl Braid</t>
        </is>
      </c>
      <c r="E35" s="2" t="inlineStr">
        <is>
          <t>TRESOR</t>
        </is>
      </c>
      <c r="F35" s="2" t="inlineStr">
        <is>
          <t>Laces</t>
        </is>
      </c>
      <c r="G35" s="2" t="inlineStr">
        <is>
          <t>Trim &amp; Edging</t>
        </is>
      </c>
      <c r="H35" s="2" t="inlineStr">
        <is>
          <t>Mixed</t>
        </is>
      </c>
      <c r="I35" s="2" t="inlineStr">
        <is>
          <t>bundle</t>
        </is>
      </c>
      <c r="J35" s="2" t="n">
        <v>18</v>
      </c>
      <c r="K35" s="3" t="n">
        <v>160</v>
      </c>
      <c r="L35" s="4" t="n">
        <v>280</v>
      </c>
      <c r="M35" s="4" t="n">
        <v>280</v>
      </c>
      <c r="N35" s="5">
        <f>IF(OR(K35="",L35=""),"",(L35-K35)/L35)</f>
        <v/>
      </c>
      <c r="O35" s="6" t="n">
        <v>0.05</v>
      </c>
      <c r="P35" s="2" t="n"/>
      <c r="Q35" s="2" t="n">
        <v>1</v>
      </c>
      <c r="R35" s="2" t="n">
        <v>1</v>
      </c>
      <c r="S35" s="2">
        <f>IF(Q35="","",IF(Q35&lt;=0,"OUT OF STOCK",IF(Q35&lt;=R35,"REORDER","OK")))</f>
        <v/>
      </c>
      <c r="T35" s="2">
        <f>IF(B35="","",SUMIFS('Stock Log'!$D$2:$D$600,'Stock Log'!$B$2:$B$600,B35))</f>
        <v/>
      </c>
      <c r="U35" s="2">
        <f>IF(B35="","",IF(T35=Q35,"OK","CHECK"))</f>
        <v/>
      </c>
      <c r="V35" s="7" t="inlineStr">
        <is>
          <t>2026-07-09</t>
        </is>
      </c>
      <c r="W35" s="2" t="inlineStr">
        <is>
          <t>Supplier A (rename me)</t>
        </is>
      </c>
      <c r="X35" s="2" t="inlineStr">
        <is>
          <t>https://tresorcouture.in/products/lace/ST987.jpg</t>
        </is>
      </c>
      <c r="Y35" s="2" t="inlineStr">
        <is>
          <t>Studio</t>
        </is>
      </c>
      <c r="Z35" s="2" t="inlineStr">
        <is>
          <t>Yes</t>
        </is>
      </c>
      <c r="AA35" s="2" t="inlineStr">
        <is>
          <t>Active</t>
        </is>
      </c>
      <c r="AB35" s="2" t="n"/>
      <c r="AC35" s="8" t="inlineStr">
        <is>
          <t>Antique-gold cord worked in interlocking infinity loops, alternating seed pearls and tiny rhinestones down the line — fine jewellery scaled to a border. 18-metre reel.</t>
        </is>
      </c>
      <c r="AD35" s="8" t="n"/>
    </row>
    <row r="36" ht="56" customHeight="1">
      <c r="A36" s="2" t="n"/>
      <c r="B36" s="2" t="inlineStr">
        <is>
          <t>lc-ih-ivory</t>
        </is>
      </c>
      <c r="C36" s="2" t="inlineStr"/>
      <c r="D36" s="2" t="inlineStr">
        <is>
          <t>Ivory Heritage Lehenga · Ivory</t>
        </is>
      </c>
      <c r="E36" s="2" t="inlineStr">
        <is>
          <t>TRESOR COUTURE</t>
        </is>
      </c>
      <c r="F36" s="2" t="inlineStr">
        <is>
          <t>Lehenga Cholis</t>
        </is>
      </c>
      <c r="G36" s="2" t="inlineStr">
        <is>
          <t>Ivory Heritage</t>
        </is>
      </c>
      <c r="H36" s="2" t="inlineStr">
        <is>
          <t>Net</t>
        </is>
      </c>
      <c r="I36" s="2" t="inlineStr">
        <is>
          <t>unit</t>
        </is>
      </c>
      <c r="J36" s="2" t="n"/>
      <c r="K36" s="3" t="n">
        <v>22320</v>
      </c>
      <c r="L36" s="4" t="n">
        <v>35999</v>
      </c>
      <c r="M36" s="4" t="n">
        <v>35999</v>
      </c>
      <c r="N36" s="5">
        <f>IF(OR(K36="",L36=""),"",(L36-K36)/L36)</f>
        <v/>
      </c>
      <c r="O36" s="6" t="n">
        <v>0.05</v>
      </c>
      <c r="P36" s="2" t="n"/>
      <c r="Q36" s="2" t="n">
        <v>5</v>
      </c>
      <c r="R36" s="2" t="n">
        <v>2</v>
      </c>
      <c r="S36" s="2">
        <f>IF(Q36="","",IF(Q36&lt;=0,"OUT OF STOCK",IF(Q36&lt;=R36,"REORDER","OK")))</f>
        <v/>
      </c>
      <c r="T36" s="2">
        <f>IF(B36="","",SUMIFS('Stock Log'!$D$2:$D$600,'Stock Log'!$B$2:$B$600,B36))</f>
        <v/>
      </c>
      <c r="U36" s="2">
        <f>IF(B36="","",IF(T36=Q36,"OK","CHECK"))</f>
        <v/>
      </c>
      <c r="V36" s="7" t="inlineStr">
        <is>
          <t>2026-07-31</t>
        </is>
      </c>
      <c r="W36" s="2" t="inlineStr">
        <is>
          <t>Atelier — own production</t>
        </is>
      </c>
      <c r="X36" s="2" t="inlineStr">
        <is>
          <t>https://tresorcouture.in/products/lehenga/pearl-ivory.jpg</t>
        </is>
      </c>
      <c r="Y36" s="2" t="inlineStr">
        <is>
          <t>Studio</t>
        </is>
      </c>
      <c r="Z36" s="2" t="inlineStr">
        <is>
          <t>Yes</t>
        </is>
      </c>
      <c r="AA36" s="2" t="inlineStr">
        <is>
          <t>Active</t>
        </is>
      </c>
      <c r="AB36" s="2" t="inlineStr">
        <is>
          <t>New In</t>
        </is>
      </c>
      <c r="AC36" s="8" t="inlineStr">
        <is>
          <t>White-on-white throughout: a geometric jaal across the skirt panels resolving into a dense floral border, worked in matte thread and pearl on ivory. Sleeveless boat-neck choli, sheer dupatta scattered with pearl motifs. Made for a daytime or church ceremony.</t>
        </is>
      </c>
      <c r="AD36" s="8" t="n"/>
    </row>
    <row r="37" ht="56" customHeight="1">
      <c r="A37" s="2" t="n"/>
      <c r="B37" s="2" t="inlineStr">
        <is>
          <t>lc-ps-antique-gold</t>
        </is>
      </c>
      <c r="C37" s="2" t="inlineStr"/>
      <c r="D37" s="2" t="inlineStr">
        <is>
          <t>Pearl Strand Lehenga · Antique Gold</t>
        </is>
      </c>
      <c r="E37" s="2" t="inlineStr">
        <is>
          <t>TRESOR COUTURE</t>
        </is>
      </c>
      <c r="F37" s="2" t="inlineStr">
        <is>
          <t>Lehenga Cholis</t>
        </is>
      </c>
      <c r="G37" s="2" t="inlineStr">
        <is>
          <t>Pearl Strand</t>
        </is>
      </c>
      <c r="H37" s="2" t="inlineStr">
        <is>
          <t>Net</t>
        </is>
      </c>
      <c r="I37" s="2" t="inlineStr">
        <is>
          <t>unit</t>
        </is>
      </c>
      <c r="J37" s="2" t="n"/>
      <c r="K37" s="3" t="n">
        <v>22320</v>
      </c>
      <c r="L37" s="4" t="n">
        <v>35999</v>
      </c>
      <c r="M37" s="4" t="n">
        <v>35999</v>
      </c>
      <c r="N37" s="5">
        <f>IF(OR(K37="",L37=""),"",(L37-K37)/L37)</f>
        <v/>
      </c>
      <c r="O37" s="6" t="n">
        <v>0.05</v>
      </c>
      <c r="P37" s="2" t="n"/>
      <c r="Q37" s="2" t="n">
        <v>5</v>
      </c>
      <c r="R37" s="2" t="n">
        <v>2</v>
      </c>
      <c r="S37" s="2">
        <f>IF(Q37="","",IF(Q37&lt;=0,"OUT OF STOCK",IF(Q37&lt;=R37,"REORDER","OK")))</f>
        <v/>
      </c>
      <c r="T37" s="2">
        <f>IF(B37="","",SUMIFS('Stock Log'!$D$2:$D$600,'Stock Log'!$B$2:$B$600,B37))</f>
        <v/>
      </c>
      <c r="U37" s="2">
        <f>IF(B37="","",IF(T37=Q37,"OK","CHECK"))</f>
        <v/>
      </c>
      <c r="V37" s="7" t="inlineStr">
        <is>
          <t>2026-07-31</t>
        </is>
      </c>
      <c r="W37" s="2" t="inlineStr">
        <is>
          <t>Atelier — own production</t>
        </is>
      </c>
      <c r="X37" s="2" t="inlineStr">
        <is>
          <t>https://tresorcouture.in/products/lehenga/pearl-antique-gold.jpg</t>
        </is>
      </c>
      <c r="Y37" s="2" t="inlineStr">
        <is>
          <t>Studio</t>
        </is>
      </c>
      <c r="Z37" s="2" t="inlineStr">
        <is>
          <t>Yes</t>
        </is>
      </c>
      <c r="AA37" s="2" t="inlineStr">
        <is>
          <t>Active</t>
        </is>
      </c>
      <c r="AB37" s="2" t="inlineStr">
        <is>
          <t>New In</t>
        </is>
      </c>
      <c r="AC37" s="8" t="inlineStr">
        <is>
          <t>Vertical strands of pearl and bead fall the length of the antique-gold skirt, opening into a hand-worked floral field at the hem. A scoop-neck choli edged in pearl drops, with a matching net dupatta bordered in the same strand work.</t>
        </is>
      </c>
      <c r="AD37" s="8" t="n"/>
    </row>
    <row r="38" ht="56" customHeight="1">
      <c r="A38" s="2" t="n"/>
      <c r="B38" s="2" t="inlineStr">
        <is>
          <t>lc-tw-blush</t>
        </is>
      </c>
      <c r="C38" s="2" t="inlineStr"/>
      <c r="D38" s="2" t="inlineStr">
        <is>
          <t>Threadwork Lehenga · Blush</t>
        </is>
      </c>
      <c r="E38" s="2" t="inlineStr">
        <is>
          <t>TRESOR COUTURE</t>
        </is>
      </c>
      <c r="F38" s="2" t="inlineStr">
        <is>
          <t>Lehenga Cholis</t>
        </is>
      </c>
      <c r="G38" s="2" t="inlineStr">
        <is>
          <t>Threadwork</t>
        </is>
      </c>
      <c r="H38" s="2" t="inlineStr">
        <is>
          <t>Net</t>
        </is>
      </c>
      <c r="I38" s="2" t="inlineStr">
        <is>
          <t>unit</t>
        </is>
      </c>
      <c r="J38" s="2" t="n"/>
      <c r="K38" s="3" t="n">
        <v>22320</v>
      </c>
      <c r="L38" s="4" t="n">
        <v>35999</v>
      </c>
      <c r="M38" s="4" t="n">
        <v>35999</v>
      </c>
      <c r="N38" s="5">
        <f>IF(OR(K38="",L38=""),"",(L38-K38)/L38)</f>
        <v/>
      </c>
      <c r="O38" s="6" t="n">
        <v>0.05</v>
      </c>
      <c r="P38" s="2" t="n"/>
      <c r="Q38" s="2" t="n">
        <v>5</v>
      </c>
      <c r="R38" s="2" t="n">
        <v>2</v>
      </c>
      <c r="S38" s="2">
        <f>IF(Q38="","",IF(Q38&lt;=0,"OUT OF STOCK",IF(Q38&lt;=R38,"REORDER","OK")))</f>
        <v/>
      </c>
      <c r="T38" s="2">
        <f>IF(B38="","",SUMIFS('Stock Log'!$D$2:$D$600,'Stock Log'!$B$2:$B$600,B38))</f>
        <v/>
      </c>
      <c r="U38" s="2">
        <f>IF(B38="","",IF(T38=Q38,"OK","CHECK"))</f>
        <v/>
      </c>
      <c r="V38" s="7" t="inlineStr">
        <is>
          <t>2026-07-31</t>
        </is>
      </c>
      <c r="W38" s="2" t="inlineStr">
        <is>
          <t>Atelier — own production</t>
        </is>
      </c>
      <c r="X38" s="2" t="inlineStr">
        <is>
          <t>https://tresorcouture.in/products/lehenga/thread-blush.jpg</t>
        </is>
      </c>
      <c r="Y38" s="2" t="inlineStr">
        <is>
          <t>Studio</t>
        </is>
      </c>
      <c r="Z38" s="2" t="inlineStr">
        <is>
          <t>Yes</t>
        </is>
      </c>
      <c r="AA38" s="2" t="inlineStr">
        <is>
          <t>Active</t>
        </is>
      </c>
      <c r="AB38" s="2" t="inlineStr">
        <is>
          <t>New In</t>
        </is>
      </c>
      <c r="AC38" s="8" t="inlineStr">
        <is>
          <t>Blush-on-blush: the threadwork colourway for haldi mornings and daytime mehendi, soft enough for sunlight and detailed enough for the close-up. Dense tonal embroidery across the flare, sweetheart neckline, sheer dupatta, scalloped edge in the same thread.</t>
        </is>
      </c>
      <c r="AD38" s="8" t="n"/>
    </row>
    <row r="39" ht="56" customHeight="1">
      <c r="A39" s="2" t="n"/>
      <c r="B39" s="2" t="inlineStr">
        <is>
          <t>lc-tw-crimson</t>
        </is>
      </c>
      <c r="C39" s="2" t="inlineStr"/>
      <c r="D39" s="2" t="inlineStr">
        <is>
          <t>Threadwork Lehenga · Crimson</t>
        </is>
      </c>
      <c r="E39" s="2" t="inlineStr">
        <is>
          <t>TRESOR COUTURE</t>
        </is>
      </c>
      <c r="F39" s="2" t="inlineStr">
        <is>
          <t>Lehenga Cholis</t>
        </is>
      </c>
      <c r="G39" s="2" t="inlineStr">
        <is>
          <t>Threadwork</t>
        </is>
      </c>
      <c r="H39" s="2" t="inlineStr">
        <is>
          <t>Net</t>
        </is>
      </c>
      <c r="I39" s="2" t="inlineStr">
        <is>
          <t>unit</t>
        </is>
      </c>
      <c r="J39" s="2" t="n"/>
      <c r="K39" s="3" t="n">
        <v>22320</v>
      </c>
      <c r="L39" s="4" t="n">
        <v>35999</v>
      </c>
      <c r="M39" s="4" t="n">
        <v>35999</v>
      </c>
      <c r="N39" s="5">
        <f>IF(OR(K39="",L39=""),"",(L39-K39)/L39)</f>
        <v/>
      </c>
      <c r="O39" s="6" t="n">
        <v>0.05</v>
      </c>
      <c r="P39" s="2" t="n"/>
      <c r="Q39" s="2" t="n">
        <v>5</v>
      </c>
      <c r="R39" s="2" t="n">
        <v>2</v>
      </c>
      <c r="S39" s="2">
        <f>IF(Q39="","",IF(Q39&lt;=0,"OUT OF STOCK",IF(Q39&lt;=R39,"REORDER","OK")))</f>
        <v/>
      </c>
      <c r="T39" s="2">
        <f>IF(B39="","",SUMIFS('Stock Log'!$D$2:$D$600,'Stock Log'!$B$2:$B$600,B39))</f>
        <v/>
      </c>
      <c r="U39" s="2">
        <f>IF(B39="","",IF(T39=Q39,"OK","CHECK"))</f>
        <v/>
      </c>
      <c r="V39" s="7" t="inlineStr">
        <is>
          <t>2026-07-31</t>
        </is>
      </c>
      <c r="W39" s="2" t="inlineStr">
        <is>
          <t>Atelier — own production</t>
        </is>
      </c>
      <c r="X39" s="2" t="inlineStr">
        <is>
          <t>https://tresorcouture.in/products/lehenga/thread-crimson.jpg</t>
        </is>
      </c>
      <c r="Y39" s="2" t="inlineStr">
        <is>
          <t>Studio</t>
        </is>
      </c>
      <c r="Z39" s="2" t="inlineStr">
        <is>
          <t>Yes</t>
        </is>
      </c>
      <c r="AA39" s="2" t="inlineStr">
        <is>
          <t>Active</t>
        </is>
      </c>
      <c r="AB39" s="2" t="inlineStr">
        <is>
          <t>New In</t>
        </is>
      </c>
      <c r="AC39" s="8" t="inlineStr">
        <is>
          <t>Crimson is this silhouette at full volume — traditional bridal red, but rendered in tone-on-tone thread rather than metal, so it moves like fabric instead of armour. Full embroidered flare, sweetheart choli on wide straps, buti dupatta, scalloped hem.</t>
        </is>
      </c>
      <c r="AD39" s="8" t="n"/>
    </row>
    <row r="40" ht="56" customHeight="1">
      <c r="A40" s="2" t="n"/>
      <c r="B40" s="2" t="inlineStr">
        <is>
          <t>lc-tw-ivory</t>
        </is>
      </c>
      <c r="C40" s="2" t="inlineStr"/>
      <c r="D40" s="2" t="inlineStr">
        <is>
          <t>Threadwork Lehenga · Ivory</t>
        </is>
      </c>
      <c r="E40" s="2" t="inlineStr">
        <is>
          <t>TRESOR COUTURE</t>
        </is>
      </c>
      <c r="F40" s="2" t="inlineStr">
        <is>
          <t>Lehenga Cholis</t>
        </is>
      </c>
      <c r="G40" s="2" t="inlineStr">
        <is>
          <t>Threadwork</t>
        </is>
      </c>
      <c r="H40" s="2" t="inlineStr">
        <is>
          <t>Net</t>
        </is>
      </c>
      <c r="I40" s="2" t="inlineStr">
        <is>
          <t>unit</t>
        </is>
      </c>
      <c r="J40" s="2" t="n"/>
      <c r="K40" s="3" t="n">
        <v>22320</v>
      </c>
      <c r="L40" s="4" t="n">
        <v>35999</v>
      </c>
      <c r="M40" s="4" t="n">
        <v>35999</v>
      </c>
      <c r="N40" s="5">
        <f>IF(OR(K40="",L40=""),"",(L40-K40)/L40)</f>
        <v/>
      </c>
      <c r="O40" s="6" t="n">
        <v>0.05</v>
      </c>
      <c r="P40" s="2" t="n"/>
      <c r="Q40" s="2" t="n">
        <v>5</v>
      </c>
      <c r="R40" s="2" t="n">
        <v>2</v>
      </c>
      <c r="S40" s="2">
        <f>IF(Q40="","",IF(Q40&lt;=0,"OUT OF STOCK",IF(Q40&lt;=R40,"REORDER","OK")))</f>
        <v/>
      </c>
      <c r="T40" s="2">
        <f>IF(B40="","",SUMIFS('Stock Log'!$D$2:$D$600,'Stock Log'!$B$2:$B$600,B40))</f>
        <v/>
      </c>
      <c r="U40" s="2">
        <f>IF(B40="","",IF(T40=Q40,"OK","CHECK"))</f>
        <v/>
      </c>
      <c r="V40" s="7" t="inlineStr">
        <is>
          <t>2026-07-31</t>
        </is>
      </c>
      <c r="W40" s="2" t="inlineStr">
        <is>
          <t>Atelier — own production</t>
        </is>
      </c>
      <c r="X40" s="2" t="inlineStr">
        <is>
          <t>https://tresorcouture.in/products/lehenga/thread-ivory.jpg</t>
        </is>
      </c>
      <c r="Y40" s="2" t="inlineStr">
        <is>
          <t>Studio</t>
        </is>
      </c>
      <c r="Z40" s="2" t="inlineStr">
        <is>
          <t>Yes</t>
        </is>
      </c>
      <c r="AA40" s="2" t="inlineStr">
        <is>
          <t>Active</t>
        </is>
      </c>
      <c r="AB40" s="2" t="inlineStr">
        <is>
          <t>New In</t>
        </is>
      </c>
      <c r="AC40" s="8" t="inlineStr">
        <is>
          <t>The ivory colourway is the quiet bridal option — white-on-white threadwork with a soft sheen, closer to couture lingerie than costume. All-over tonal embroidery, sweetheart choli, sheer dupatta with scattered butis and a scallop-finished hem.</t>
        </is>
      </c>
      <c r="AD40" s="8" t="n"/>
    </row>
    <row r="41" ht="56" customHeight="1">
      <c r="A41" s="2" t="n"/>
      <c r="B41" s="2" t="inlineStr">
        <is>
          <t>lc-tw-navy</t>
        </is>
      </c>
      <c r="C41" s="2" t="inlineStr"/>
      <c r="D41" s="2" t="inlineStr">
        <is>
          <t>Threadwork Lehenga · Navy</t>
        </is>
      </c>
      <c r="E41" s="2" t="inlineStr">
        <is>
          <t>TRESOR COUTURE</t>
        </is>
      </c>
      <c r="F41" s="2" t="inlineStr">
        <is>
          <t>Lehenga Cholis</t>
        </is>
      </c>
      <c r="G41" s="2" t="inlineStr">
        <is>
          <t>Threadwork</t>
        </is>
      </c>
      <c r="H41" s="2" t="inlineStr">
        <is>
          <t>Net</t>
        </is>
      </c>
      <c r="I41" s="2" t="inlineStr">
        <is>
          <t>unit</t>
        </is>
      </c>
      <c r="J41" s="2" t="n"/>
      <c r="K41" s="3" t="n">
        <v>22320</v>
      </c>
      <c r="L41" s="4" t="n">
        <v>35999</v>
      </c>
      <c r="M41" s="4" t="n">
        <v>35999</v>
      </c>
      <c r="N41" s="5">
        <f>IF(OR(K41="",L41=""),"",(L41-K41)/L41)</f>
        <v/>
      </c>
      <c r="O41" s="6" t="n">
        <v>0.05</v>
      </c>
      <c r="P41" s="2" t="n"/>
      <c r="Q41" s="2" t="n">
        <v>5</v>
      </c>
      <c r="R41" s="2" t="n">
        <v>2</v>
      </c>
      <c r="S41" s="2">
        <f>IF(Q41="","",IF(Q41&lt;=0,"OUT OF STOCK",IF(Q41&lt;=R41,"REORDER","OK")))</f>
        <v/>
      </c>
      <c r="T41" s="2">
        <f>IF(B41="","",SUMIFS('Stock Log'!$D$2:$D$600,'Stock Log'!$B$2:$B$600,B41))</f>
        <v/>
      </c>
      <c r="U41" s="2">
        <f>IF(B41="","",IF(T41=Q41,"OK","CHECK"))</f>
        <v/>
      </c>
      <c r="V41" s="7" t="inlineStr">
        <is>
          <t>2026-07-31</t>
        </is>
      </c>
      <c r="W41" s="2" t="inlineStr">
        <is>
          <t>Atelier — own production</t>
        </is>
      </c>
      <c r="X41" s="2" t="inlineStr">
        <is>
          <t>https://tresorcouture.in/products/lehenga/thread-navy.jpg</t>
        </is>
      </c>
      <c r="Y41" s="2" t="inlineStr">
        <is>
          <t>Studio</t>
        </is>
      </c>
      <c r="Z41" s="2" t="inlineStr">
        <is>
          <t>Yes</t>
        </is>
      </c>
      <c r="AA41" s="2" t="inlineStr">
        <is>
          <t>Active</t>
        </is>
      </c>
      <c r="AB41" s="2" t="inlineStr">
        <is>
          <t>New In</t>
        </is>
      </c>
      <c r="AC41" s="8" t="inlineStr">
        <is>
          <t>In navy, the tone-on-tone threadwork turns architectural — midnight-blue embroidery over a midnight ground, reading as pure texture until the light rakes across it. Dense thread jaal across the full flare, sweetheart choli on wide straps, sheer buti-scattered dupatta, scalloped hem.</t>
        </is>
      </c>
      <c r="AD41" s="8" t="n"/>
    </row>
    <row r="42" ht="56" customHeight="1">
      <c r="A42" s="2" t="n"/>
      <c r="B42" s="2" t="inlineStr">
        <is>
          <t>lc-tw-taupe</t>
        </is>
      </c>
      <c r="C42" s="2" t="inlineStr"/>
      <c r="D42" s="2" t="inlineStr">
        <is>
          <t>Threadwork Lehenga · Taupe</t>
        </is>
      </c>
      <c r="E42" s="2" t="inlineStr">
        <is>
          <t>TRESOR COUTURE</t>
        </is>
      </c>
      <c r="F42" s="2" t="inlineStr">
        <is>
          <t>Lehenga Cholis</t>
        </is>
      </c>
      <c r="G42" s="2" t="inlineStr">
        <is>
          <t>Threadwork</t>
        </is>
      </c>
      <c r="H42" s="2" t="inlineStr">
        <is>
          <t>Net</t>
        </is>
      </c>
      <c r="I42" s="2" t="inlineStr">
        <is>
          <t>unit</t>
        </is>
      </c>
      <c r="J42" s="2" t="n"/>
      <c r="K42" s="3" t="n">
        <v>22320</v>
      </c>
      <c r="L42" s="4" t="n">
        <v>35999</v>
      </c>
      <c r="M42" s="4" t="n">
        <v>35999</v>
      </c>
      <c r="N42" s="5">
        <f>IF(OR(K42="",L42=""),"",(L42-K42)/L42)</f>
        <v/>
      </c>
      <c r="O42" s="6" t="n">
        <v>0.05</v>
      </c>
      <c r="P42" s="2" t="n"/>
      <c r="Q42" s="2" t="n">
        <v>5</v>
      </c>
      <c r="R42" s="2" t="n">
        <v>2</v>
      </c>
      <c r="S42" s="2">
        <f>IF(Q42="","",IF(Q42&lt;=0,"OUT OF STOCK",IF(Q42&lt;=R42,"REORDER","OK")))</f>
        <v/>
      </c>
      <c r="T42" s="2">
        <f>IF(B42="","",SUMIFS('Stock Log'!$D$2:$D$600,'Stock Log'!$B$2:$B$600,B42))</f>
        <v/>
      </c>
      <c r="U42" s="2">
        <f>IF(B42="","",IF(T42=Q42,"OK","CHECK"))</f>
        <v/>
      </c>
      <c r="V42" s="7" t="inlineStr">
        <is>
          <t>2026-07-31</t>
        </is>
      </c>
      <c r="W42" s="2" t="inlineStr">
        <is>
          <t>Atelier — own production</t>
        </is>
      </c>
      <c r="X42" s="2" t="inlineStr">
        <is>
          <t>https://tresorcouture.in/products/lehenga/thread-taupe.jpg</t>
        </is>
      </c>
      <c r="Y42" s="2" t="inlineStr">
        <is>
          <t>Studio</t>
        </is>
      </c>
      <c r="Z42" s="2" t="inlineStr">
        <is>
          <t>Yes</t>
        </is>
      </c>
      <c r="AA42" s="2" t="inlineStr">
        <is>
          <t>Active</t>
        </is>
      </c>
      <c r="AB42" s="2" t="inlineStr">
        <is>
          <t>New In</t>
        </is>
      </c>
      <c r="AC42" s="8" t="inlineStr">
        <is>
          <t>Taupe sits between gold and grey — the colourway that pairs with everything, from antique polki to modern silver. All-over tonal threadwork read as texture, sweetheart choli, sheer scattered-buti dupatta, scallop-edged hem.</t>
        </is>
      </c>
      <c r="AD42" s="8" t="n"/>
    </row>
    <row r="43" ht="56" customHeight="1">
      <c r="A43" s="2" t="n"/>
      <c r="B43" s="2" t="inlineStr">
        <is>
          <t>lc-zf-champagne</t>
        </is>
      </c>
      <c r="C43" s="2" t="inlineStr"/>
      <c r="D43" s="2" t="inlineStr">
        <is>
          <t>Zardozi Floral Lehenga · Champagne</t>
        </is>
      </c>
      <c r="E43" s="2" t="inlineStr">
        <is>
          <t>TRESOR COUTURE</t>
        </is>
      </c>
      <c r="F43" s="2" t="inlineStr">
        <is>
          <t>Lehenga Cholis</t>
        </is>
      </c>
      <c r="G43" s="2" t="inlineStr">
        <is>
          <t>Zardozi Floral</t>
        </is>
      </c>
      <c r="H43" s="2" t="inlineStr">
        <is>
          <t>Silk blend</t>
        </is>
      </c>
      <c r="I43" s="2" t="inlineStr">
        <is>
          <t>unit</t>
        </is>
      </c>
      <c r="J43" s="2" t="n"/>
      <c r="K43" s="3" t="n">
        <v>22320</v>
      </c>
      <c r="L43" s="4" t="n">
        <v>35999</v>
      </c>
      <c r="M43" s="4" t="n">
        <v>35999</v>
      </c>
      <c r="N43" s="5">
        <f>IF(OR(K43="",L43=""),"",(L43-K43)/L43)</f>
        <v/>
      </c>
      <c r="O43" s="6" t="n">
        <v>0.05</v>
      </c>
      <c r="P43" s="2" t="n"/>
      <c r="Q43" s="2" t="n">
        <v>5</v>
      </c>
      <c r="R43" s="2" t="n">
        <v>2</v>
      </c>
      <c r="S43" s="2">
        <f>IF(Q43="","",IF(Q43&lt;=0,"OUT OF STOCK",IF(Q43&lt;=R43,"REORDER","OK")))</f>
        <v/>
      </c>
      <c r="T43" s="2">
        <f>IF(B43="","",SUMIFS('Stock Log'!$D$2:$D$600,'Stock Log'!$B$2:$B$600,B43))</f>
        <v/>
      </c>
      <c r="U43" s="2">
        <f>IF(B43="","",IF(T43=Q43,"OK","CHECK"))</f>
        <v/>
      </c>
      <c r="V43" s="7" t="inlineStr">
        <is>
          <t>2026-07-31</t>
        </is>
      </c>
      <c r="W43" s="2" t="inlineStr">
        <is>
          <t>Atelier — own production</t>
        </is>
      </c>
      <c r="X43" s="2" t="inlineStr">
        <is>
          <t>https://tresorcouture.in/products/lehenga/zardozi-champagne.jpg</t>
        </is>
      </c>
      <c r="Y43" s="2" t="inlineStr">
        <is>
          <t>Studio</t>
        </is>
      </c>
      <c r="Z43" s="2" t="inlineStr">
        <is>
          <t>Yes</t>
        </is>
      </c>
      <c r="AA43" s="2" t="inlineStr">
        <is>
          <t>Active</t>
        </is>
      </c>
      <c r="AB43" s="2" t="inlineStr">
        <is>
          <t>New In</t>
        </is>
      </c>
      <c r="AC43" s="8" t="inlineStr">
        <is>
          <t>Champagne on champagne: the tone-on-tone colourway where the zardozi relief does all the talking. At a distance it is one golden column; up close the bouquets, sequin arches and pearl details separate. The classic choice for a daytime bride.</t>
        </is>
      </c>
      <c r="AD43" s="8" t="n"/>
    </row>
    <row r="44" ht="56" customHeight="1">
      <c r="A44" s="2" t="n"/>
      <c r="B44" s="2" t="inlineStr">
        <is>
          <t>lc-zf-mauve</t>
        </is>
      </c>
      <c r="C44" s="2" t="inlineStr"/>
      <c r="D44" s="2" t="inlineStr">
        <is>
          <t>Zardozi Floral Lehenga · Mauve</t>
        </is>
      </c>
      <c r="E44" s="2" t="inlineStr">
        <is>
          <t>TRESOR COUTURE</t>
        </is>
      </c>
      <c r="F44" s="2" t="inlineStr">
        <is>
          <t>Lehenga Cholis</t>
        </is>
      </c>
      <c r="G44" s="2" t="inlineStr">
        <is>
          <t>Zardozi Floral</t>
        </is>
      </c>
      <c r="H44" s="2" t="inlineStr">
        <is>
          <t>Silk blend</t>
        </is>
      </c>
      <c r="I44" s="2" t="inlineStr">
        <is>
          <t>unit</t>
        </is>
      </c>
      <c r="J44" s="2" t="n"/>
      <c r="K44" s="3" t="n">
        <v>22320</v>
      </c>
      <c r="L44" s="4" t="n">
        <v>35999</v>
      </c>
      <c r="M44" s="4" t="n">
        <v>35999</v>
      </c>
      <c r="N44" s="5">
        <f>IF(OR(K44="",L44=""),"",(L44-K44)/L44)</f>
        <v/>
      </c>
      <c r="O44" s="6" t="n">
        <v>0.05</v>
      </c>
      <c r="P44" s="2" t="n"/>
      <c r="Q44" s="2" t="n">
        <v>5</v>
      </c>
      <c r="R44" s="2" t="n">
        <v>2</v>
      </c>
      <c r="S44" s="2">
        <f>IF(Q44="","",IF(Q44&lt;=0,"OUT OF STOCK",IF(Q44&lt;=R44,"REORDER","OK")))</f>
        <v/>
      </c>
      <c r="T44" s="2">
        <f>IF(B44="","",SUMIFS('Stock Log'!$D$2:$D$600,'Stock Log'!$B$2:$B$600,B44))</f>
        <v/>
      </c>
      <c r="U44" s="2">
        <f>IF(B44="","",IF(T44=Q44,"OK","CHECK"))</f>
        <v/>
      </c>
      <c r="V44" s="7" t="inlineStr">
        <is>
          <t>2026-07-31</t>
        </is>
      </c>
      <c r="W44" s="2" t="inlineStr">
        <is>
          <t>Atelier — own production</t>
        </is>
      </c>
      <c r="X44" s="2" t="inlineStr">
        <is>
          <t>https://tresorcouture.in/products/lehenga/zardozi-mauve.jpg</t>
        </is>
      </c>
      <c r="Y44" s="2" t="inlineStr">
        <is>
          <t>Studio</t>
        </is>
      </c>
      <c r="Z44" s="2" t="inlineStr">
        <is>
          <t>Yes</t>
        </is>
      </c>
      <c r="AA44" s="2" t="inlineStr">
        <is>
          <t>Active</t>
        </is>
      </c>
      <c r="AB44" s="2" t="inlineStr">
        <is>
          <t>New In</t>
        </is>
      </c>
      <c r="AC44" s="8" t="inlineStr">
        <is>
          <t>Mauve deepens the zardozi's rose-gold cast — the warmest of the pastel colourways, made for evening receptions under warm light. Hand-raised floral sprays, a dense arched border, structured choli and scalloped dupatta, finished with beaded latkans at the waist.</t>
        </is>
      </c>
      <c r="AD44" s="8" t="n"/>
    </row>
    <row r="45" ht="56" customHeight="1">
      <c r="A45" s="2" t="n"/>
      <c r="B45" s="2" t="inlineStr">
        <is>
          <t>lc-zf-olive</t>
        </is>
      </c>
      <c r="C45" s="2" t="inlineStr"/>
      <c r="D45" s="2" t="inlineStr">
        <is>
          <t>Zardozi Floral Lehenga · Olive</t>
        </is>
      </c>
      <c r="E45" s="2" t="inlineStr">
        <is>
          <t>TRESOR COUTURE</t>
        </is>
      </c>
      <c r="F45" s="2" t="inlineStr">
        <is>
          <t>Lehenga Cholis</t>
        </is>
      </c>
      <c r="G45" s="2" t="inlineStr">
        <is>
          <t>Zardozi Floral</t>
        </is>
      </c>
      <c r="H45" s="2" t="inlineStr">
        <is>
          <t>Silk blend</t>
        </is>
      </c>
      <c r="I45" s="2" t="inlineStr">
        <is>
          <t>unit</t>
        </is>
      </c>
      <c r="J45" s="2" t="n"/>
      <c r="K45" s="3" t="n">
        <v>22320</v>
      </c>
      <c r="L45" s="4" t="n">
        <v>35999</v>
      </c>
      <c r="M45" s="4" t="n">
        <v>35999</v>
      </c>
      <c r="N45" s="5">
        <f>IF(OR(K45="",L45=""),"",(L45-K45)/L45)</f>
        <v/>
      </c>
      <c r="O45" s="6" t="n">
        <v>0.05</v>
      </c>
      <c r="P45" s="2" t="n"/>
      <c r="Q45" s="2" t="n">
        <v>5</v>
      </c>
      <c r="R45" s="2" t="n">
        <v>2</v>
      </c>
      <c r="S45" s="2">
        <f>IF(Q45="","",IF(Q45&lt;=0,"OUT OF STOCK",IF(Q45&lt;=R45,"REORDER","OK")))</f>
        <v/>
      </c>
      <c r="T45" s="2">
        <f>IF(B45="","",SUMIFS('Stock Log'!$D$2:$D$600,'Stock Log'!$B$2:$B$600,B45))</f>
        <v/>
      </c>
      <c r="U45" s="2">
        <f>IF(B45="","",IF(T45=Q45,"OK","CHECK"))</f>
        <v/>
      </c>
      <c r="V45" s="7" t="inlineStr">
        <is>
          <t>2026-07-31</t>
        </is>
      </c>
      <c r="W45" s="2" t="inlineStr">
        <is>
          <t>Atelier — own production</t>
        </is>
      </c>
      <c r="X45" s="2" t="inlineStr">
        <is>
          <t>https://tresorcouture.in/products/lehenga/zardozi-olive.jpg</t>
        </is>
      </c>
      <c r="Y45" s="2" t="inlineStr">
        <is>
          <t>Studio</t>
        </is>
      </c>
      <c r="Z45" s="2" t="inlineStr">
        <is>
          <t>Yes</t>
        </is>
      </c>
      <c r="AA45" s="2" t="inlineStr">
        <is>
          <t>Active</t>
        </is>
      </c>
      <c r="AB45" s="2" t="inlineStr">
        <is>
          <t>New In</t>
        </is>
      </c>
      <c r="AC45" s="8" t="inlineStr">
        <is>
          <t>Olive is the unexpected one — the gold zardozi turns antique against the deep herbal ground, closer to heirloom than trend. For the bride or sister-of-the-bride who wants richness without red. Full raised floral work, arched border, structured choli and dupatta.</t>
        </is>
      </c>
      <c r="AD45" s="8" t="n"/>
    </row>
    <row r="46" ht="56" customHeight="1">
      <c r="A46" s="2" t="n"/>
      <c r="B46" s="2" t="inlineStr">
        <is>
          <t>lc-zf-powder-blue</t>
        </is>
      </c>
      <c r="C46" s="2" t="inlineStr"/>
      <c r="D46" s="2" t="inlineStr">
        <is>
          <t>Zardozi Floral Lehenga · Powder Blue</t>
        </is>
      </c>
      <c r="E46" s="2" t="inlineStr">
        <is>
          <t>TRESOR COUTURE</t>
        </is>
      </c>
      <c r="F46" s="2" t="inlineStr">
        <is>
          <t>Lehenga Cholis</t>
        </is>
      </c>
      <c r="G46" s="2" t="inlineStr">
        <is>
          <t>Zardozi Floral</t>
        </is>
      </c>
      <c r="H46" s="2" t="inlineStr">
        <is>
          <t>Silk blend</t>
        </is>
      </c>
      <c r="I46" s="2" t="inlineStr">
        <is>
          <t>unit</t>
        </is>
      </c>
      <c r="J46" s="2" t="n"/>
      <c r="K46" s="3" t="n">
        <v>22320</v>
      </c>
      <c r="L46" s="4" t="n">
        <v>35999</v>
      </c>
      <c r="M46" s="4" t="n">
        <v>35999</v>
      </c>
      <c r="N46" s="5">
        <f>IF(OR(K46="",L46=""),"",(L46-K46)/L46)</f>
        <v/>
      </c>
      <c r="O46" s="6" t="n">
        <v>0.05</v>
      </c>
      <c r="P46" s="2" t="n"/>
      <c r="Q46" s="2" t="n">
        <v>5</v>
      </c>
      <c r="R46" s="2" t="n">
        <v>2</v>
      </c>
      <c r="S46" s="2">
        <f>IF(Q46="","",IF(Q46&lt;=0,"OUT OF STOCK",IF(Q46&lt;=R46,"REORDER","OK")))</f>
        <v/>
      </c>
      <c r="T46" s="2">
        <f>IF(B46="","",SUMIFS('Stock Log'!$D$2:$D$600,'Stock Log'!$B$2:$B$600,B46))</f>
        <v/>
      </c>
      <c r="U46" s="2">
        <f>IF(B46="","",IF(T46=Q46,"OK","CHECK"))</f>
        <v/>
      </c>
      <c r="V46" s="7" t="inlineStr">
        <is>
          <t>2026-07-31</t>
        </is>
      </c>
      <c r="W46" s="2" t="inlineStr">
        <is>
          <t>Atelier — own production</t>
        </is>
      </c>
      <c r="X46" s="2" t="inlineStr">
        <is>
          <t>https://tresorcouture.in/products/lehenga/zardozi-powder-blue.jpg</t>
        </is>
      </c>
      <c r="Y46" s="2" t="inlineStr">
        <is>
          <t>Studio</t>
        </is>
      </c>
      <c r="Z46" s="2" t="inlineStr">
        <is>
          <t>Yes</t>
        </is>
      </c>
      <c r="AA46" s="2" t="inlineStr">
        <is>
          <t>Active</t>
        </is>
      </c>
      <c r="AB46" s="2" t="inlineStr">
        <is>
          <t>New In</t>
        </is>
      </c>
      <c r="AC46" s="8" t="inlineStr">
        <is>
          <t>The powder-blue colourway reads almost silver at dusk — the silver-and-pearl zardozi melts into the ground for a quiet, icy shimmer. Raised floral bouquets over the flare, mihrab border at the hem, boat-neck choli and a soft net dupatta finished with a hand-worked scalloped edge.</t>
        </is>
      </c>
      <c r="AD46" s="8" t="n"/>
    </row>
    <row r="47" ht="56" customHeight="1">
      <c r="A47" s="2" t="n"/>
      <c r="B47" s="2" t="inlineStr">
        <is>
          <t>lc-zf-rose</t>
        </is>
      </c>
      <c r="C47" s="2" t="inlineStr"/>
      <c r="D47" s="2" t="inlineStr">
        <is>
          <t>Zardozi Floral Lehenga · Rose</t>
        </is>
      </c>
      <c r="E47" s="2" t="inlineStr">
        <is>
          <t>TRESOR COUTURE</t>
        </is>
      </c>
      <c r="F47" s="2" t="inlineStr">
        <is>
          <t>Lehenga Cholis</t>
        </is>
      </c>
      <c r="G47" s="2" t="inlineStr">
        <is>
          <t>Zardozi Floral</t>
        </is>
      </c>
      <c r="H47" s="2" t="inlineStr">
        <is>
          <t>Silk blend</t>
        </is>
      </c>
      <c r="I47" s="2" t="inlineStr">
        <is>
          <t>unit</t>
        </is>
      </c>
      <c r="J47" s="2" t="n"/>
      <c r="K47" s="3" t="n">
        <v>22320</v>
      </c>
      <c r="L47" s="4" t="n">
        <v>35999</v>
      </c>
      <c r="M47" s="4" t="n">
        <v>35999</v>
      </c>
      <c r="N47" s="5">
        <f>IF(OR(K47="",L47=""),"",(L47-K47)/L47)</f>
        <v/>
      </c>
      <c r="O47" s="6" t="n">
        <v>0.05</v>
      </c>
      <c r="P47" s="2" t="n"/>
      <c r="Q47" s="2" t="n">
        <v>5</v>
      </c>
      <c r="R47" s="2" t="n">
        <v>2</v>
      </c>
      <c r="S47" s="2">
        <f>IF(Q47="","",IF(Q47&lt;=0,"OUT OF STOCK",IF(Q47&lt;=R47,"REORDER","OK")))</f>
        <v/>
      </c>
      <c r="T47" s="2">
        <f>IF(B47="","",SUMIFS('Stock Log'!$D$2:$D$600,'Stock Log'!$B$2:$B$600,B47))</f>
        <v/>
      </c>
      <c r="U47" s="2">
        <f>IF(B47="","",IF(T47=Q47,"OK","CHECK"))</f>
        <v/>
      </c>
      <c r="V47" s="7" t="inlineStr">
        <is>
          <t>2026-07-31</t>
        </is>
      </c>
      <c r="W47" s="2" t="inlineStr">
        <is>
          <t>Atelier — own production</t>
        </is>
      </c>
      <c r="X47" s="2" t="inlineStr">
        <is>
          <t>https://tresorcouture.in/products/lehenga/zardozi-rose.jpg</t>
        </is>
      </c>
      <c r="Y47" s="2" t="inlineStr">
        <is>
          <t>Studio</t>
        </is>
      </c>
      <c r="Z47" s="2" t="inlineStr">
        <is>
          <t>Yes</t>
        </is>
      </c>
      <c r="AA47" s="2" t="inlineStr">
        <is>
          <t>Active</t>
        </is>
      </c>
      <c r="AB47" s="2" t="inlineStr">
        <is>
          <t>New In</t>
        </is>
      </c>
      <c r="AC47" s="8" t="inlineStr">
        <is>
          <t>A dusty rose ground gives the bouquets a blush warmth that flatters every skin tone — the most photographed colourway of this silhouette. Full zardozi field, mihrab hem border, boat-neck choli, scalloped net dupatta with latkans.</t>
        </is>
      </c>
      <c r="AD47" s="8" t="n"/>
    </row>
    <row r="48" ht="56" customHeight="1">
      <c r="A48" s="2" t="n"/>
      <c r="B48" s="2" t="inlineStr">
        <is>
          <t>lc-zf-rust</t>
        </is>
      </c>
      <c r="C48" s="2" t="inlineStr"/>
      <c r="D48" s="2" t="inlineStr">
        <is>
          <t>Zardozi Floral Lehenga · Rust</t>
        </is>
      </c>
      <c r="E48" s="2" t="inlineStr">
        <is>
          <t>TRESOR COUTURE</t>
        </is>
      </c>
      <c r="F48" s="2" t="inlineStr">
        <is>
          <t>Lehenga Cholis</t>
        </is>
      </c>
      <c r="G48" s="2" t="inlineStr">
        <is>
          <t>Zardozi Floral</t>
        </is>
      </c>
      <c r="H48" s="2" t="inlineStr">
        <is>
          <t>Silk blend</t>
        </is>
      </c>
      <c r="I48" s="2" t="inlineStr">
        <is>
          <t>unit</t>
        </is>
      </c>
      <c r="J48" s="2" t="n"/>
      <c r="K48" s="3" t="n">
        <v>22320</v>
      </c>
      <c r="L48" s="4" t="n">
        <v>35999</v>
      </c>
      <c r="M48" s="4" t="n">
        <v>35999</v>
      </c>
      <c r="N48" s="5">
        <f>IF(OR(K48="",L48=""),"",(L48-K48)/L48)</f>
        <v/>
      </c>
      <c r="O48" s="6" t="n">
        <v>0.05</v>
      </c>
      <c r="P48" s="2" t="n"/>
      <c r="Q48" s="2" t="n">
        <v>5</v>
      </c>
      <c r="R48" s="2" t="n">
        <v>2</v>
      </c>
      <c r="S48" s="2">
        <f>IF(Q48="","",IF(Q48&lt;=0,"OUT OF STOCK",IF(Q48&lt;=R48,"REORDER","OK")))</f>
        <v/>
      </c>
      <c r="T48" s="2">
        <f>IF(B48="","",SUMIFS('Stock Log'!$D$2:$D$600,'Stock Log'!$B$2:$B$600,B48))</f>
        <v/>
      </c>
      <c r="U48" s="2">
        <f>IF(B48="","",IF(T48=Q48,"OK","CHECK"))</f>
        <v/>
      </c>
      <c r="V48" s="7" t="inlineStr">
        <is>
          <t>2026-07-31</t>
        </is>
      </c>
      <c r="W48" s="2" t="inlineStr">
        <is>
          <t>Atelier — own production</t>
        </is>
      </c>
      <c r="X48" s="2" t="inlineStr">
        <is>
          <t>https://tresorcouture.in/products/lehenga/zardozi-rust.jpg</t>
        </is>
      </c>
      <c r="Y48" s="2" t="inlineStr">
        <is>
          <t>Studio</t>
        </is>
      </c>
      <c r="Z48" s="2" t="inlineStr">
        <is>
          <t>Yes</t>
        </is>
      </c>
      <c r="AA48" s="2" t="inlineStr">
        <is>
          <t>Active</t>
        </is>
      </c>
      <c r="AB48" s="2" t="inlineStr">
        <is>
          <t>New In</t>
        </is>
      </c>
      <c r="AC48" s="8" t="inlineStr">
        <is>
          <t>Rust brings the silhouette closest to tradition — a burnt, autumnal ground where the gold work glows like temple jewellery. Raised bouquets across the flare, deep mihrab border, boat-neck choli, scallop-edged dupatta with beaded latkans.</t>
        </is>
      </c>
      <c r="AD48" s="8" t="n"/>
    </row>
    <row r="49" ht="56" customHeight="1">
      <c r="A49" s="2" t="n"/>
      <c r="B49" s="2" t="inlineStr">
        <is>
          <t>lc-zf-sage</t>
        </is>
      </c>
      <c r="C49" s="2" t="inlineStr"/>
      <c r="D49" s="2" t="inlineStr">
        <is>
          <t>Zardozi Floral Lehenga · Sage</t>
        </is>
      </c>
      <c r="E49" s="2" t="inlineStr">
        <is>
          <t>TRESOR COUTURE</t>
        </is>
      </c>
      <c r="F49" s="2" t="inlineStr">
        <is>
          <t>Lehenga Cholis</t>
        </is>
      </c>
      <c r="G49" s="2" t="inlineStr">
        <is>
          <t>Zardozi Floral</t>
        </is>
      </c>
      <c r="H49" s="2" t="inlineStr">
        <is>
          <t>Silk blend</t>
        </is>
      </c>
      <c r="I49" s="2" t="inlineStr">
        <is>
          <t>unit</t>
        </is>
      </c>
      <c r="J49" s="2" t="n"/>
      <c r="K49" s="3" t="n">
        <v>22320</v>
      </c>
      <c r="L49" s="4" t="n">
        <v>35999</v>
      </c>
      <c r="M49" s="4" t="n">
        <v>35999</v>
      </c>
      <c r="N49" s="5">
        <f>IF(OR(K49="",L49=""),"",(L49-K49)/L49)</f>
        <v/>
      </c>
      <c r="O49" s="6" t="n">
        <v>0.05</v>
      </c>
      <c r="P49" s="2" t="n"/>
      <c r="Q49" s="2" t="n">
        <v>5</v>
      </c>
      <c r="R49" s="2" t="n">
        <v>2</v>
      </c>
      <c r="S49" s="2">
        <f>IF(Q49="","",IF(Q49&lt;=0,"OUT OF STOCK",IF(Q49&lt;=R49,"REORDER","OK")))</f>
        <v/>
      </c>
      <c r="T49" s="2">
        <f>IF(B49="","",SUMIFS('Stock Log'!$D$2:$D$600,'Stock Log'!$B$2:$B$600,B49))</f>
        <v/>
      </c>
      <c r="U49" s="2">
        <f>IF(B49="","",IF(T49=Q49,"OK","CHECK"))</f>
        <v/>
      </c>
      <c r="V49" s="7" t="inlineStr">
        <is>
          <t>2026-07-31</t>
        </is>
      </c>
      <c r="W49" s="2" t="inlineStr">
        <is>
          <t>Atelier — own production</t>
        </is>
      </c>
      <c r="X49" s="2" t="inlineStr">
        <is>
          <t>https://tresorcouture.in/products/lehenga/zardozi-sage.jpg</t>
        </is>
      </c>
      <c r="Y49" s="2" t="inlineStr">
        <is>
          <t>Studio</t>
        </is>
      </c>
      <c r="Z49" s="2" t="inlineStr">
        <is>
          <t>Yes</t>
        </is>
      </c>
      <c r="AA49" s="2" t="inlineStr">
        <is>
          <t>Active</t>
        </is>
      </c>
      <c r="AB49" s="2" t="inlineStr">
        <is>
          <t>New In</t>
        </is>
      </c>
      <c r="AC49" s="8" t="inlineStr">
        <is>
          <t>In sage green, the zardozi bouquets sit on a cool, herbal ground that photographs beautifully in daylight — a bridal lehenga for the bride who wants garden softness instead of red. Raised floral zardozi across the panels, a deep mihrab-arch border in sequin, bead and dori, structured boat-neck choli and a scallop-edged net dupatta with beaded latkans.</t>
        </is>
      </c>
      <c r="AD49" s="8" t="n"/>
    </row>
    <row r="50" ht="56" customHeight="1">
      <c r="A50" s="2" t="n"/>
      <c r="B50" s="2" t="inlineStr">
        <is>
          <t>sr-pd-crimson</t>
        </is>
      </c>
      <c r="C50" s="2" t="inlineStr"/>
      <c r="D50" s="2" t="inlineStr">
        <is>
          <t>Pre-draped Sequin Saree · Crimson</t>
        </is>
      </c>
      <c r="E50" s="2" t="inlineStr">
        <is>
          <t>TRESOR COUTURE</t>
        </is>
      </c>
      <c r="F50" s="2" t="inlineStr">
        <is>
          <t>Sarees</t>
        </is>
      </c>
      <c r="G50" s="2" t="inlineStr">
        <is>
          <t>Pre-draped Saree</t>
        </is>
      </c>
      <c r="H50" s="2" t="inlineStr">
        <is>
          <t>Georgette</t>
        </is>
      </c>
      <c r="I50" s="2" t="inlineStr">
        <is>
          <t>unit</t>
        </is>
      </c>
      <c r="J50" s="2" t="n"/>
      <c r="K50" s="3" t="n">
        <v>22320</v>
      </c>
      <c r="L50" s="4" t="n">
        <v>35999</v>
      </c>
      <c r="M50" s="4" t="n">
        <v>35999</v>
      </c>
      <c r="N50" s="5">
        <f>IF(OR(K50="",L50=""),"",(L50-K50)/L50)</f>
        <v/>
      </c>
      <c r="O50" s="6" t="n">
        <v>0.05</v>
      </c>
      <c r="P50" s="2" t="n"/>
      <c r="Q50" s="2" t="n">
        <v>5</v>
      </c>
      <c r="R50" s="2" t="n">
        <v>2</v>
      </c>
      <c r="S50" s="2">
        <f>IF(Q50="","",IF(Q50&lt;=0,"OUT OF STOCK",IF(Q50&lt;=R50,"REORDER","OK")))</f>
        <v/>
      </c>
      <c r="T50" s="2">
        <f>IF(B50="","",SUMIFS('Stock Log'!$D$2:$D$600,'Stock Log'!$B$2:$B$600,B50))</f>
        <v/>
      </c>
      <c r="U50" s="2">
        <f>IF(B50="","",IF(T50=Q50,"OK","CHECK"))</f>
        <v/>
      </c>
      <c r="V50" s="7" t="inlineStr">
        <is>
          <t>2026-07-31</t>
        </is>
      </c>
      <c r="W50" s="2" t="inlineStr">
        <is>
          <t>Atelier — own production</t>
        </is>
      </c>
      <c r="X50" s="2" t="inlineStr">
        <is>
          <t>https://tresorcouture.in/products/saree/sequin-crimson.jpg</t>
        </is>
      </c>
      <c r="Y50" s="2" t="inlineStr">
        <is>
          <t>Studio</t>
        </is>
      </c>
      <c r="Z50" s="2" t="inlineStr">
        <is>
          <t>Yes</t>
        </is>
      </c>
      <c r="AA50" s="2" t="inlineStr">
        <is>
          <t>Active</t>
        </is>
      </c>
      <c r="AB50" s="2" t="inlineStr">
        <is>
          <t>New In</t>
        </is>
      </c>
      <c r="AC50" s="8" t="inlineStr">
        <is>
          <t>A ready-to-wear pre-draped saree in crimson, the drape solid with micro-sequins so the whole silhouette ignites under evening light. Stitched pleat fall, matching blouse — no pinning, no petticoat; step in and fasten.</t>
        </is>
      </c>
      <c r="AD50" s="8" t="n"/>
    </row>
    <row r="51" ht="56" customHeight="1">
      <c r="A51" s="2" t="n"/>
      <c r="B51" s="2" t="inlineStr">
        <is>
          <t>sr-pd-lilac</t>
        </is>
      </c>
      <c r="C51" s="2" t="inlineStr"/>
      <c r="D51" s="2" t="inlineStr">
        <is>
          <t>Pre-draped Floral Saree · Lilac</t>
        </is>
      </c>
      <c r="E51" s="2" t="inlineStr">
        <is>
          <t>TRESOR COUTURE</t>
        </is>
      </c>
      <c r="F51" s="2" t="inlineStr">
        <is>
          <t>Sarees</t>
        </is>
      </c>
      <c r="G51" s="2" t="inlineStr">
        <is>
          <t>Pre-draped Saree</t>
        </is>
      </c>
      <c r="H51" s="2" t="inlineStr">
        <is>
          <t>Georgette</t>
        </is>
      </c>
      <c r="I51" s="2" t="inlineStr">
        <is>
          <t>unit</t>
        </is>
      </c>
      <c r="J51" s="2" t="n"/>
      <c r="K51" s="3" t="n">
        <v>22320</v>
      </c>
      <c r="L51" s="4" t="n">
        <v>35999</v>
      </c>
      <c r="M51" s="4" t="n">
        <v>35999</v>
      </c>
      <c r="N51" s="5">
        <f>IF(OR(K51="",L51=""),"",(L51-K51)/L51)</f>
        <v/>
      </c>
      <c r="O51" s="6" t="n">
        <v>0.05</v>
      </c>
      <c r="P51" s="2" t="n"/>
      <c r="Q51" s="2" t="n">
        <v>5</v>
      </c>
      <c r="R51" s="2" t="n">
        <v>2</v>
      </c>
      <c r="S51" s="2">
        <f>IF(Q51="","",IF(Q51&lt;=0,"OUT OF STOCK",IF(Q51&lt;=R51,"REORDER","OK")))</f>
        <v/>
      </c>
      <c r="T51" s="2">
        <f>IF(B51="","",SUMIFS('Stock Log'!$D$2:$D$600,'Stock Log'!$B$2:$B$600,B51))</f>
        <v/>
      </c>
      <c r="U51" s="2">
        <f>IF(B51="","",IF(T51=Q51,"OK","CHECK"))</f>
        <v/>
      </c>
      <c r="V51" s="7" t="inlineStr">
        <is>
          <t>2026-07-31</t>
        </is>
      </c>
      <c r="W51" s="2" t="inlineStr">
        <is>
          <t>Atelier — own production</t>
        </is>
      </c>
      <c r="X51" s="2" t="inlineStr">
        <is>
          <t>https://tresorcouture.in/products/saree/floral-lilac.jpg</t>
        </is>
      </c>
      <c r="Y51" s="2" t="inlineStr">
        <is>
          <t>Studio</t>
        </is>
      </c>
      <c r="Z51" s="2" t="inlineStr">
        <is>
          <t>Yes</t>
        </is>
      </c>
      <c r="AA51" s="2" t="inlineStr">
        <is>
          <t>Active</t>
        </is>
      </c>
      <c r="AB51" s="2" t="inlineStr">
        <is>
          <t>New In</t>
        </is>
      </c>
      <c r="AC51" s="8" t="inlineStr">
        <is>
          <t>A pre-draped saree in soft lilac georgette printed with a scattered floral, the pallu edged in satin. Stitched pleats and a matching blouse make it a five-minute drape — the easy option for cocktail evenings and day functions.</t>
        </is>
      </c>
      <c r="AD51" s="8" t="n"/>
    </row>
    <row r="52">
      <c r="N52" s="9">
        <f>IF(OR(K52="",L52=""),"",(L52-K52)/L52)</f>
        <v/>
      </c>
      <c r="O52" s="10" t="n"/>
      <c r="S52" s="11">
        <f>IF(Q52="","",IF(Q52&lt;=0,"OUT OF STOCK",IF(Q52&lt;=R52,"REORDER","OK")))</f>
        <v/>
      </c>
      <c r="T52" s="11">
        <f>IF(B52="","",SUMIFS('Stock Log'!$D$2:$D$600,'Stock Log'!$B$2:$B$600,B52))</f>
        <v/>
      </c>
      <c r="U52" s="11">
        <f>IF(B52="","",IF(T52=Q52,"OK","CHECK"))</f>
        <v/>
      </c>
    </row>
    <row r="53">
      <c r="N53" s="9">
        <f>IF(OR(K53="",L53=""),"",(L53-K53)/L53)</f>
        <v/>
      </c>
      <c r="O53" s="10" t="n"/>
      <c r="S53" s="11">
        <f>IF(Q53="","",IF(Q53&lt;=0,"OUT OF STOCK",IF(Q53&lt;=R53,"REORDER","OK")))</f>
        <v/>
      </c>
      <c r="T53" s="11">
        <f>IF(B53="","",SUMIFS('Stock Log'!$D$2:$D$600,'Stock Log'!$B$2:$B$600,B53))</f>
        <v/>
      </c>
      <c r="U53" s="11">
        <f>IF(B53="","",IF(T53=Q53,"OK","CHECK"))</f>
        <v/>
      </c>
    </row>
    <row r="54">
      <c r="N54" s="9">
        <f>IF(OR(K54="",L54=""),"",(L54-K54)/L54)</f>
        <v/>
      </c>
      <c r="O54" s="10" t="n"/>
      <c r="S54" s="11">
        <f>IF(Q54="","",IF(Q54&lt;=0,"OUT OF STOCK",IF(Q54&lt;=R54,"REORDER","OK")))</f>
        <v/>
      </c>
      <c r="T54" s="11">
        <f>IF(B54="","",SUMIFS('Stock Log'!$D$2:$D$600,'Stock Log'!$B$2:$B$600,B54))</f>
        <v/>
      </c>
      <c r="U54" s="11">
        <f>IF(B54="","",IF(T54=Q54,"OK","CHECK"))</f>
        <v/>
      </c>
    </row>
    <row r="55">
      <c r="N55" s="9">
        <f>IF(OR(K55="",L55=""),"",(L55-K55)/L55)</f>
        <v/>
      </c>
      <c r="O55" s="10" t="n"/>
      <c r="S55" s="11">
        <f>IF(Q55="","",IF(Q55&lt;=0,"OUT OF STOCK",IF(Q55&lt;=R55,"REORDER","OK")))</f>
        <v/>
      </c>
      <c r="T55" s="11">
        <f>IF(B55="","",SUMIFS('Stock Log'!$D$2:$D$600,'Stock Log'!$B$2:$B$600,B55))</f>
        <v/>
      </c>
      <c r="U55" s="11">
        <f>IF(B55="","",IF(T55=Q55,"OK","CHECK"))</f>
        <v/>
      </c>
    </row>
    <row r="56">
      <c r="N56" s="9">
        <f>IF(OR(K56="",L56=""),"",(L56-K56)/L56)</f>
        <v/>
      </c>
      <c r="O56" s="10" t="n"/>
      <c r="S56" s="11">
        <f>IF(Q56="","",IF(Q56&lt;=0,"OUT OF STOCK",IF(Q56&lt;=R56,"REORDER","OK")))</f>
        <v/>
      </c>
      <c r="T56" s="11">
        <f>IF(B56="","",SUMIFS('Stock Log'!$D$2:$D$600,'Stock Log'!$B$2:$B$600,B56))</f>
        <v/>
      </c>
      <c r="U56" s="11">
        <f>IF(B56="","",IF(T56=Q56,"OK","CHECK"))</f>
        <v/>
      </c>
    </row>
    <row r="57">
      <c r="N57" s="9">
        <f>IF(OR(K57="",L57=""),"",(L57-K57)/L57)</f>
        <v/>
      </c>
      <c r="O57" s="10" t="n"/>
      <c r="S57" s="11">
        <f>IF(Q57="","",IF(Q57&lt;=0,"OUT OF STOCK",IF(Q57&lt;=R57,"REORDER","OK")))</f>
        <v/>
      </c>
      <c r="T57" s="11">
        <f>IF(B57="","",SUMIFS('Stock Log'!$D$2:$D$600,'Stock Log'!$B$2:$B$600,B57))</f>
        <v/>
      </c>
      <c r="U57" s="11">
        <f>IF(B57="","",IF(T57=Q57,"OK","CHECK"))</f>
        <v/>
      </c>
    </row>
    <row r="58">
      <c r="N58" s="9">
        <f>IF(OR(K58="",L58=""),"",(L58-K58)/L58)</f>
        <v/>
      </c>
      <c r="O58" s="10" t="n"/>
      <c r="S58" s="11">
        <f>IF(Q58="","",IF(Q58&lt;=0,"OUT OF STOCK",IF(Q58&lt;=R58,"REORDER","OK")))</f>
        <v/>
      </c>
      <c r="T58" s="11">
        <f>IF(B58="","",SUMIFS('Stock Log'!$D$2:$D$600,'Stock Log'!$B$2:$B$600,B58))</f>
        <v/>
      </c>
      <c r="U58" s="11">
        <f>IF(B58="","",IF(T58=Q58,"OK","CHECK"))</f>
        <v/>
      </c>
    </row>
    <row r="59">
      <c r="N59" s="9">
        <f>IF(OR(K59="",L59=""),"",(L59-K59)/L59)</f>
        <v/>
      </c>
      <c r="O59" s="10" t="n"/>
      <c r="S59" s="11">
        <f>IF(Q59="","",IF(Q59&lt;=0,"OUT OF STOCK",IF(Q59&lt;=R59,"REORDER","OK")))</f>
        <v/>
      </c>
      <c r="T59" s="11">
        <f>IF(B59="","",SUMIFS('Stock Log'!$D$2:$D$600,'Stock Log'!$B$2:$B$600,B59))</f>
        <v/>
      </c>
      <c r="U59" s="11">
        <f>IF(B59="","",IF(T59=Q59,"OK","CHECK"))</f>
        <v/>
      </c>
    </row>
    <row r="60">
      <c r="N60" s="9">
        <f>IF(OR(K60="",L60=""),"",(L60-K60)/L60)</f>
        <v/>
      </c>
      <c r="O60" s="10" t="n"/>
      <c r="S60" s="11">
        <f>IF(Q60="","",IF(Q60&lt;=0,"OUT OF STOCK",IF(Q60&lt;=R60,"REORDER","OK")))</f>
        <v/>
      </c>
      <c r="T60" s="11">
        <f>IF(B60="","",SUMIFS('Stock Log'!$D$2:$D$600,'Stock Log'!$B$2:$B$600,B60))</f>
        <v/>
      </c>
      <c r="U60" s="11">
        <f>IF(B60="","",IF(T60=Q60,"OK","CHECK"))</f>
        <v/>
      </c>
    </row>
    <row r="61">
      <c r="N61" s="9">
        <f>IF(OR(K61="",L61=""),"",(L61-K61)/L61)</f>
        <v/>
      </c>
      <c r="O61" s="10" t="n"/>
      <c r="S61" s="11">
        <f>IF(Q61="","",IF(Q61&lt;=0,"OUT OF STOCK",IF(Q61&lt;=R61,"REORDER","OK")))</f>
        <v/>
      </c>
      <c r="T61" s="11">
        <f>IF(B61="","",SUMIFS('Stock Log'!$D$2:$D$600,'Stock Log'!$B$2:$B$600,B61))</f>
        <v/>
      </c>
      <c r="U61" s="11">
        <f>IF(B61="","",IF(T61=Q61,"OK","CHECK"))</f>
        <v/>
      </c>
    </row>
    <row r="62">
      <c r="N62" s="9">
        <f>IF(OR(K62="",L62=""),"",(L62-K62)/L62)</f>
        <v/>
      </c>
      <c r="O62" s="10" t="n"/>
      <c r="S62" s="11">
        <f>IF(Q62="","",IF(Q62&lt;=0,"OUT OF STOCK",IF(Q62&lt;=R62,"REORDER","OK")))</f>
        <v/>
      </c>
      <c r="T62" s="11">
        <f>IF(B62="","",SUMIFS('Stock Log'!$D$2:$D$600,'Stock Log'!$B$2:$B$600,B62))</f>
        <v/>
      </c>
      <c r="U62" s="11">
        <f>IF(B62="","",IF(T62=Q62,"OK","CHECK"))</f>
        <v/>
      </c>
    </row>
    <row r="63">
      <c r="N63" s="9">
        <f>IF(OR(K63="",L63=""),"",(L63-K63)/L63)</f>
        <v/>
      </c>
      <c r="O63" s="10" t="n"/>
      <c r="S63" s="11">
        <f>IF(Q63="","",IF(Q63&lt;=0,"OUT OF STOCK",IF(Q63&lt;=R63,"REORDER","OK")))</f>
        <v/>
      </c>
      <c r="T63" s="11">
        <f>IF(B63="","",SUMIFS('Stock Log'!$D$2:$D$600,'Stock Log'!$B$2:$B$600,B63))</f>
        <v/>
      </c>
      <c r="U63" s="11">
        <f>IF(B63="","",IF(T63=Q63,"OK","CHECK"))</f>
        <v/>
      </c>
    </row>
    <row r="64">
      <c r="N64" s="9">
        <f>IF(OR(K64="",L64=""),"",(L64-K64)/L64)</f>
        <v/>
      </c>
      <c r="O64" s="10" t="n"/>
      <c r="S64" s="11">
        <f>IF(Q64="","",IF(Q64&lt;=0,"OUT OF STOCK",IF(Q64&lt;=R64,"REORDER","OK")))</f>
        <v/>
      </c>
      <c r="T64" s="11">
        <f>IF(B64="","",SUMIFS('Stock Log'!$D$2:$D$600,'Stock Log'!$B$2:$B$600,B64))</f>
        <v/>
      </c>
      <c r="U64" s="11">
        <f>IF(B64="","",IF(T64=Q64,"OK","CHECK"))</f>
        <v/>
      </c>
    </row>
    <row r="65">
      <c r="N65" s="9">
        <f>IF(OR(K65="",L65=""),"",(L65-K65)/L65)</f>
        <v/>
      </c>
      <c r="O65" s="10" t="n"/>
      <c r="S65" s="11">
        <f>IF(Q65="","",IF(Q65&lt;=0,"OUT OF STOCK",IF(Q65&lt;=R65,"REORDER","OK")))</f>
        <v/>
      </c>
      <c r="T65" s="11">
        <f>IF(B65="","",SUMIFS('Stock Log'!$D$2:$D$600,'Stock Log'!$B$2:$B$600,B65))</f>
        <v/>
      </c>
      <c r="U65" s="11">
        <f>IF(B65="","",IF(T65=Q65,"OK","CHECK"))</f>
        <v/>
      </c>
    </row>
    <row r="66">
      <c r="N66" s="9">
        <f>IF(OR(K66="",L66=""),"",(L66-K66)/L66)</f>
        <v/>
      </c>
      <c r="O66" s="10" t="n"/>
      <c r="S66" s="11">
        <f>IF(Q66="","",IF(Q66&lt;=0,"OUT OF STOCK",IF(Q66&lt;=R66,"REORDER","OK")))</f>
        <v/>
      </c>
      <c r="T66" s="11">
        <f>IF(B66="","",SUMIFS('Stock Log'!$D$2:$D$600,'Stock Log'!$B$2:$B$600,B66))</f>
        <v/>
      </c>
      <c r="U66" s="11">
        <f>IF(B66="","",IF(T66=Q66,"OK","CHECK"))</f>
        <v/>
      </c>
    </row>
    <row r="67">
      <c r="N67" s="9">
        <f>IF(OR(K67="",L67=""),"",(L67-K67)/L67)</f>
        <v/>
      </c>
      <c r="O67" s="10" t="n"/>
      <c r="S67" s="11">
        <f>IF(Q67="","",IF(Q67&lt;=0,"OUT OF STOCK",IF(Q67&lt;=R67,"REORDER","OK")))</f>
        <v/>
      </c>
      <c r="T67" s="11">
        <f>IF(B67="","",SUMIFS('Stock Log'!$D$2:$D$600,'Stock Log'!$B$2:$B$600,B67))</f>
        <v/>
      </c>
      <c r="U67" s="11">
        <f>IF(B67="","",IF(T67=Q67,"OK","CHECK"))</f>
        <v/>
      </c>
    </row>
    <row r="68">
      <c r="N68" s="9">
        <f>IF(OR(K68="",L68=""),"",(L68-K68)/L68)</f>
        <v/>
      </c>
      <c r="O68" s="10" t="n"/>
      <c r="S68" s="11">
        <f>IF(Q68="","",IF(Q68&lt;=0,"OUT OF STOCK",IF(Q68&lt;=R68,"REORDER","OK")))</f>
        <v/>
      </c>
      <c r="T68" s="11">
        <f>IF(B68="","",SUMIFS('Stock Log'!$D$2:$D$600,'Stock Log'!$B$2:$B$600,B68))</f>
        <v/>
      </c>
      <c r="U68" s="11">
        <f>IF(B68="","",IF(T68=Q68,"OK","CHECK"))</f>
        <v/>
      </c>
    </row>
    <row r="69">
      <c r="N69" s="9">
        <f>IF(OR(K69="",L69=""),"",(L69-K69)/L69)</f>
        <v/>
      </c>
      <c r="O69" s="10" t="n"/>
      <c r="S69" s="11">
        <f>IF(Q69="","",IF(Q69&lt;=0,"OUT OF STOCK",IF(Q69&lt;=R69,"REORDER","OK")))</f>
        <v/>
      </c>
      <c r="T69" s="11">
        <f>IF(B69="","",SUMIFS('Stock Log'!$D$2:$D$600,'Stock Log'!$B$2:$B$600,B69))</f>
        <v/>
      </c>
      <c r="U69" s="11">
        <f>IF(B69="","",IF(T69=Q69,"OK","CHECK"))</f>
        <v/>
      </c>
    </row>
    <row r="70">
      <c r="N70" s="9">
        <f>IF(OR(K70="",L70=""),"",(L70-K70)/L70)</f>
        <v/>
      </c>
      <c r="O70" s="10" t="n"/>
      <c r="S70" s="11">
        <f>IF(Q70="","",IF(Q70&lt;=0,"OUT OF STOCK",IF(Q70&lt;=R70,"REORDER","OK")))</f>
        <v/>
      </c>
      <c r="T70" s="11">
        <f>IF(B70="","",SUMIFS('Stock Log'!$D$2:$D$600,'Stock Log'!$B$2:$B$600,B70))</f>
        <v/>
      </c>
      <c r="U70" s="11">
        <f>IF(B70="","",IF(T70=Q70,"OK","CHECK"))</f>
        <v/>
      </c>
    </row>
    <row r="71">
      <c r="N71" s="9">
        <f>IF(OR(K71="",L71=""),"",(L71-K71)/L71)</f>
        <v/>
      </c>
      <c r="O71" s="10" t="n"/>
      <c r="S71" s="11">
        <f>IF(Q71="","",IF(Q71&lt;=0,"OUT OF STOCK",IF(Q71&lt;=R71,"REORDER","OK")))</f>
        <v/>
      </c>
      <c r="T71" s="11">
        <f>IF(B71="","",SUMIFS('Stock Log'!$D$2:$D$600,'Stock Log'!$B$2:$B$600,B71))</f>
        <v/>
      </c>
      <c r="U71" s="11">
        <f>IF(B71="","",IF(T71=Q71,"OK","CHECK"))</f>
        <v/>
      </c>
    </row>
    <row r="72">
      <c r="N72" s="9">
        <f>IF(OR(K72="",L72=""),"",(L72-K72)/L72)</f>
        <v/>
      </c>
      <c r="O72" s="10" t="n"/>
      <c r="S72" s="11">
        <f>IF(Q72="","",IF(Q72&lt;=0,"OUT OF STOCK",IF(Q72&lt;=R72,"REORDER","OK")))</f>
        <v/>
      </c>
      <c r="T72" s="11">
        <f>IF(B72="","",SUMIFS('Stock Log'!$D$2:$D$600,'Stock Log'!$B$2:$B$600,B72))</f>
        <v/>
      </c>
      <c r="U72" s="11">
        <f>IF(B72="","",IF(T72=Q72,"OK","CHECK"))</f>
        <v/>
      </c>
    </row>
    <row r="73">
      <c r="N73" s="9">
        <f>IF(OR(K73="",L73=""),"",(L73-K73)/L73)</f>
        <v/>
      </c>
      <c r="O73" s="10" t="n"/>
      <c r="S73" s="11">
        <f>IF(Q73="","",IF(Q73&lt;=0,"OUT OF STOCK",IF(Q73&lt;=R73,"REORDER","OK")))</f>
        <v/>
      </c>
      <c r="T73" s="11">
        <f>IF(B73="","",SUMIFS('Stock Log'!$D$2:$D$600,'Stock Log'!$B$2:$B$600,B73))</f>
        <v/>
      </c>
      <c r="U73" s="11">
        <f>IF(B73="","",IF(T73=Q73,"OK","CHECK"))</f>
        <v/>
      </c>
    </row>
    <row r="74">
      <c r="N74" s="9">
        <f>IF(OR(K74="",L74=""),"",(L74-K74)/L74)</f>
        <v/>
      </c>
      <c r="O74" s="10" t="n"/>
      <c r="S74" s="11">
        <f>IF(Q74="","",IF(Q74&lt;=0,"OUT OF STOCK",IF(Q74&lt;=R74,"REORDER","OK")))</f>
        <v/>
      </c>
      <c r="T74" s="11">
        <f>IF(B74="","",SUMIFS('Stock Log'!$D$2:$D$600,'Stock Log'!$B$2:$B$600,B74))</f>
        <v/>
      </c>
      <c r="U74" s="11">
        <f>IF(B74="","",IF(T74=Q74,"OK","CHECK"))</f>
        <v/>
      </c>
    </row>
    <row r="75">
      <c r="N75" s="9">
        <f>IF(OR(K75="",L75=""),"",(L75-K75)/L75)</f>
        <v/>
      </c>
      <c r="O75" s="10" t="n"/>
      <c r="S75" s="11">
        <f>IF(Q75="","",IF(Q75&lt;=0,"OUT OF STOCK",IF(Q75&lt;=R75,"REORDER","OK")))</f>
        <v/>
      </c>
      <c r="T75" s="11">
        <f>IF(B75="","",SUMIFS('Stock Log'!$D$2:$D$600,'Stock Log'!$B$2:$B$600,B75))</f>
        <v/>
      </c>
      <c r="U75" s="11">
        <f>IF(B75="","",IF(T75=Q75,"OK","CHECK"))</f>
        <v/>
      </c>
    </row>
    <row r="76">
      <c r="N76" s="9">
        <f>IF(OR(K76="",L76=""),"",(L76-K76)/L76)</f>
        <v/>
      </c>
      <c r="O76" s="10" t="n"/>
      <c r="S76" s="11">
        <f>IF(Q76="","",IF(Q76&lt;=0,"OUT OF STOCK",IF(Q76&lt;=R76,"REORDER","OK")))</f>
        <v/>
      </c>
      <c r="T76" s="11">
        <f>IF(B76="","",SUMIFS('Stock Log'!$D$2:$D$600,'Stock Log'!$B$2:$B$600,B76))</f>
        <v/>
      </c>
      <c r="U76" s="11">
        <f>IF(B76="","",IF(T76=Q76,"OK","CHECK"))</f>
        <v/>
      </c>
    </row>
    <row r="77">
      <c r="N77" s="9">
        <f>IF(OR(K77="",L77=""),"",(L77-K77)/L77)</f>
        <v/>
      </c>
      <c r="O77" s="10" t="n"/>
      <c r="S77" s="11">
        <f>IF(Q77="","",IF(Q77&lt;=0,"OUT OF STOCK",IF(Q77&lt;=R77,"REORDER","OK")))</f>
        <v/>
      </c>
      <c r="T77" s="11">
        <f>IF(B77="","",SUMIFS('Stock Log'!$D$2:$D$600,'Stock Log'!$B$2:$B$600,B77))</f>
        <v/>
      </c>
      <c r="U77" s="11">
        <f>IF(B77="","",IF(T77=Q77,"OK","CHECK"))</f>
        <v/>
      </c>
    </row>
    <row r="78">
      <c r="N78" s="9">
        <f>IF(OR(K78="",L78=""),"",(L78-K78)/L78)</f>
        <v/>
      </c>
      <c r="O78" s="10" t="n"/>
      <c r="S78" s="11">
        <f>IF(Q78="","",IF(Q78&lt;=0,"OUT OF STOCK",IF(Q78&lt;=R78,"REORDER","OK")))</f>
        <v/>
      </c>
      <c r="T78" s="11">
        <f>IF(B78="","",SUMIFS('Stock Log'!$D$2:$D$600,'Stock Log'!$B$2:$B$600,B78))</f>
        <v/>
      </c>
      <c r="U78" s="11">
        <f>IF(B78="","",IF(T78=Q78,"OK","CHECK"))</f>
        <v/>
      </c>
    </row>
    <row r="79">
      <c r="N79" s="9">
        <f>IF(OR(K79="",L79=""),"",(L79-K79)/L79)</f>
        <v/>
      </c>
      <c r="O79" s="10" t="n"/>
      <c r="S79" s="11">
        <f>IF(Q79="","",IF(Q79&lt;=0,"OUT OF STOCK",IF(Q79&lt;=R79,"REORDER","OK")))</f>
        <v/>
      </c>
      <c r="T79" s="11">
        <f>IF(B79="","",SUMIFS('Stock Log'!$D$2:$D$600,'Stock Log'!$B$2:$B$600,B79))</f>
        <v/>
      </c>
      <c r="U79" s="11">
        <f>IF(B79="","",IF(T79=Q79,"OK","CHECK"))</f>
        <v/>
      </c>
    </row>
    <row r="80">
      <c r="N80" s="9">
        <f>IF(OR(K80="",L80=""),"",(L80-K80)/L80)</f>
        <v/>
      </c>
      <c r="O80" s="10" t="n"/>
      <c r="S80" s="11">
        <f>IF(Q80="","",IF(Q80&lt;=0,"OUT OF STOCK",IF(Q80&lt;=R80,"REORDER","OK")))</f>
        <v/>
      </c>
      <c r="T80" s="11">
        <f>IF(B80="","",SUMIFS('Stock Log'!$D$2:$D$600,'Stock Log'!$B$2:$B$600,B80))</f>
        <v/>
      </c>
      <c r="U80" s="11">
        <f>IF(B80="","",IF(T80=Q80,"OK","CHECK"))</f>
        <v/>
      </c>
    </row>
    <row r="81">
      <c r="N81" s="9">
        <f>IF(OR(K81="",L81=""),"",(L81-K81)/L81)</f>
        <v/>
      </c>
      <c r="O81" s="10" t="n"/>
      <c r="S81" s="11">
        <f>IF(Q81="","",IF(Q81&lt;=0,"OUT OF STOCK",IF(Q81&lt;=R81,"REORDER","OK")))</f>
        <v/>
      </c>
      <c r="T81" s="11">
        <f>IF(B81="","",SUMIFS('Stock Log'!$D$2:$D$600,'Stock Log'!$B$2:$B$600,B81))</f>
        <v/>
      </c>
      <c r="U81" s="11">
        <f>IF(B81="","",IF(T81=Q81,"OK","CHECK"))</f>
        <v/>
      </c>
    </row>
    <row r="82">
      <c r="N82" s="9">
        <f>IF(OR(K82="",L82=""),"",(L82-K82)/L82)</f>
        <v/>
      </c>
      <c r="O82" s="10" t="n"/>
      <c r="S82" s="11">
        <f>IF(Q82="","",IF(Q82&lt;=0,"OUT OF STOCK",IF(Q82&lt;=R82,"REORDER","OK")))</f>
        <v/>
      </c>
      <c r="T82" s="11">
        <f>IF(B82="","",SUMIFS('Stock Log'!$D$2:$D$600,'Stock Log'!$B$2:$B$600,B82))</f>
        <v/>
      </c>
      <c r="U82" s="11">
        <f>IF(B82="","",IF(T82=Q82,"OK","CHECK"))</f>
        <v/>
      </c>
    </row>
    <row r="83">
      <c r="N83" s="9">
        <f>IF(OR(K83="",L83=""),"",(L83-K83)/L83)</f>
        <v/>
      </c>
      <c r="O83" s="10" t="n"/>
      <c r="S83" s="11">
        <f>IF(Q83="","",IF(Q83&lt;=0,"OUT OF STOCK",IF(Q83&lt;=R83,"REORDER","OK")))</f>
        <v/>
      </c>
      <c r="T83" s="11">
        <f>IF(B83="","",SUMIFS('Stock Log'!$D$2:$D$600,'Stock Log'!$B$2:$B$600,B83))</f>
        <v/>
      </c>
      <c r="U83" s="11">
        <f>IF(B83="","",IF(T83=Q83,"OK","CHECK"))</f>
        <v/>
      </c>
    </row>
    <row r="84">
      <c r="N84" s="9">
        <f>IF(OR(K84="",L84=""),"",(L84-K84)/L84)</f>
        <v/>
      </c>
      <c r="O84" s="10" t="n"/>
      <c r="S84" s="11">
        <f>IF(Q84="","",IF(Q84&lt;=0,"OUT OF STOCK",IF(Q84&lt;=R84,"REORDER","OK")))</f>
        <v/>
      </c>
      <c r="T84" s="11">
        <f>IF(B84="","",SUMIFS('Stock Log'!$D$2:$D$600,'Stock Log'!$B$2:$B$600,B84))</f>
        <v/>
      </c>
      <c r="U84" s="11">
        <f>IF(B84="","",IF(T84=Q84,"OK","CHECK"))</f>
        <v/>
      </c>
    </row>
    <row r="85">
      <c r="N85" s="9">
        <f>IF(OR(K85="",L85=""),"",(L85-K85)/L85)</f>
        <v/>
      </c>
      <c r="O85" s="10" t="n"/>
      <c r="S85" s="11">
        <f>IF(Q85="","",IF(Q85&lt;=0,"OUT OF STOCK",IF(Q85&lt;=R85,"REORDER","OK")))</f>
        <v/>
      </c>
      <c r="T85" s="11">
        <f>IF(B85="","",SUMIFS('Stock Log'!$D$2:$D$600,'Stock Log'!$B$2:$B$600,B85))</f>
        <v/>
      </c>
      <c r="U85" s="11">
        <f>IF(B85="","",IF(T85=Q85,"OK","CHECK"))</f>
        <v/>
      </c>
    </row>
    <row r="86">
      <c r="N86" s="9">
        <f>IF(OR(K86="",L86=""),"",(L86-K86)/L86)</f>
        <v/>
      </c>
      <c r="O86" s="10" t="n"/>
      <c r="S86" s="11">
        <f>IF(Q86="","",IF(Q86&lt;=0,"OUT OF STOCK",IF(Q86&lt;=R86,"REORDER","OK")))</f>
        <v/>
      </c>
      <c r="T86" s="11">
        <f>IF(B86="","",SUMIFS('Stock Log'!$D$2:$D$600,'Stock Log'!$B$2:$B$600,B86))</f>
        <v/>
      </c>
      <c r="U86" s="11">
        <f>IF(B86="","",IF(T86=Q86,"OK","CHECK"))</f>
        <v/>
      </c>
    </row>
    <row r="87">
      <c r="N87" s="9">
        <f>IF(OR(K87="",L87=""),"",(L87-K87)/L87)</f>
        <v/>
      </c>
      <c r="O87" s="10" t="n"/>
      <c r="S87" s="11">
        <f>IF(Q87="","",IF(Q87&lt;=0,"OUT OF STOCK",IF(Q87&lt;=R87,"REORDER","OK")))</f>
        <v/>
      </c>
      <c r="T87" s="11">
        <f>IF(B87="","",SUMIFS('Stock Log'!$D$2:$D$600,'Stock Log'!$B$2:$B$600,B87))</f>
        <v/>
      </c>
      <c r="U87" s="11">
        <f>IF(B87="","",IF(T87=Q87,"OK","CHECK"))</f>
        <v/>
      </c>
    </row>
    <row r="88">
      <c r="N88" s="9">
        <f>IF(OR(K88="",L88=""),"",(L88-K88)/L88)</f>
        <v/>
      </c>
      <c r="O88" s="10" t="n"/>
      <c r="S88" s="11">
        <f>IF(Q88="","",IF(Q88&lt;=0,"OUT OF STOCK",IF(Q88&lt;=R88,"REORDER","OK")))</f>
        <v/>
      </c>
      <c r="T88" s="11">
        <f>IF(B88="","",SUMIFS('Stock Log'!$D$2:$D$600,'Stock Log'!$B$2:$B$600,B88))</f>
        <v/>
      </c>
      <c r="U88" s="11">
        <f>IF(B88="","",IF(T88=Q88,"OK","CHECK"))</f>
        <v/>
      </c>
    </row>
    <row r="89">
      <c r="N89" s="9">
        <f>IF(OR(K89="",L89=""),"",(L89-K89)/L89)</f>
        <v/>
      </c>
      <c r="O89" s="10" t="n"/>
      <c r="S89" s="11">
        <f>IF(Q89="","",IF(Q89&lt;=0,"OUT OF STOCK",IF(Q89&lt;=R89,"REORDER","OK")))</f>
        <v/>
      </c>
      <c r="T89" s="11">
        <f>IF(B89="","",SUMIFS('Stock Log'!$D$2:$D$600,'Stock Log'!$B$2:$B$600,B89))</f>
        <v/>
      </c>
      <c r="U89" s="11">
        <f>IF(B89="","",IF(T89=Q89,"OK","CHECK"))</f>
        <v/>
      </c>
    </row>
    <row r="90">
      <c r="N90" s="9">
        <f>IF(OR(K90="",L90=""),"",(L90-K90)/L90)</f>
        <v/>
      </c>
      <c r="O90" s="10" t="n"/>
      <c r="S90" s="11">
        <f>IF(Q90="","",IF(Q90&lt;=0,"OUT OF STOCK",IF(Q90&lt;=R90,"REORDER","OK")))</f>
        <v/>
      </c>
      <c r="T90" s="11">
        <f>IF(B90="","",SUMIFS('Stock Log'!$D$2:$D$600,'Stock Log'!$B$2:$B$600,B90))</f>
        <v/>
      </c>
      <c r="U90" s="11">
        <f>IF(B90="","",IF(T90=Q90,"OK","CHECK"))</f>
        <v/>
      </c>
    </row>
    <row r="91">
      <c r="N91" s="9">
        <f>IF(OR(K91="",L91=""),"",(L91-K91)/L91)</f>
        <v/>
      </c>
      <c r="O91" s="10" t="n"/>
      <c r="S91" s="11">
        <f>IF(Q91="","",IF(Q91&lt;=0,"OUT OF STOCK",IF(Q91&lt;=R91,"REORDER","OK")))</f>
        <v/>
      </c>
      <c r="T91" s="11">
        <f>IF(B91="","",SUMIFS('Stock Log'!$D$2:$D$600,'Stock Log'!$B$2:$B$600,B91))</f>
        <v/>
      </c>
      <c r="U91" s="11">
        <f>IF(B91="","",IF(T91=Q91,"OK","CHECK"))</f>
        <v/>
      </c>
    </row>
    <row r="92">
      <c r="N92" s="9">
        <f>IF(OR(K92="",L92=""),"",(L92-K92)/L92)</f>
        <v/>
      </c>
      <c r="O92" s="10" t="n"/>
      <c r="S92" s="11">
        <f>IF(Q92="","",IF(Q92&lt;=0,"OUT OF STOCK",IF(Q92&lt;=R92,"REORDER","OK")))</f>
        <v/>
      </c>
      <c r="T92" s="11">
        <f>IF(B92="","",SUMIFS('Stock Log'!$D$2:$D$600,'Stock Log'!$B$2:$B$600,B92))</f>
        <v/>
      </c>
      <c r="U92" s="11">
        <f>IF(B92="","",IF(T92=Q92,"OK","CHECK"))</f>
        <v/>
      </c>
    </row>
    <row r="93">
      <c r="N93" s="9">
        <f>IF(OR(K93="",L93=""),"",(L93-K93)/L93)</f>
        <v/>
      </c>
      <c r="O93" s="10" t="n"/>
      <c r="S93" s="11">
        <f>IF(Q93="","",IF(Q93&lt;=0,"OUT OF STOCK",IF(Q93&lt;=R93,"REORDER","OK")))</f>
        <v/>
      </c>
      <c r="T93" s="11">
        <f>IF(B93="","",SUMIFS('Stock Log'!$D$2:$D$600,'Stock Log'!$B$2:$B$600,B93))</f>
        <v/>
      </c>
      <c r="U93" s="11">
        <f>IF(B93="","",IF(T93=Q93,"OK","CHECK"))</f>
        <v/>
      </c>
    </row>
    <row r="94">
      <c r="N94" s="9">
        <f>IF(OR(K94="",L94=""),"",(L94-K94)/L94)</f>
        <v/>
      </c>
      <c r="O94" s="10" t="n"/>
      <c r="S94" s="11">
        <f>IF(Q94="","",IF(Q94&lt;=0,"OUT OF STOCK",IF(Q94&lt;=R94,"REORDER","OK")))</f>
        <v/>
      </c>
      <c r="T94" s="11">
        <f>IF(B94="","",SUMIFS('Stock Log'!$D$2:$D$600,'Stock Log'!$B$2:$B$600,B94))</f>
        <v/>
      </c>
      <c r="U94" s="11">
        <f>IF(B94="","",IF(T94=Q94,"OK","CHECK"))</f>
        <v/>
      </c>
    </row>
    <row r="95">
      <c r="N95" s="9">
        <f>IF(OR(K95="",L95=""),"",(L95-K95)/L95)</f>
        <v/>
      </c>
      <c r="O95" s="10" t="n"/>
      <c r="S95" s="11">
        <f>IF(Q95="","",IF(Q95&lt;=0,"OUT OF STOCK",IF(Q95&lt;=R95,"REORDER","OK")))</f>
        <v/>
      </c>
      <c r="T95" s="11">
        <f>IF(B95="","",SUMIFS('Stock Log'!$D$2:$D$600,'Stock Log'!$B$2:$B$600,B95))</f>
        <v/>
      </c>
      <c r="U95" s="11">
        <f>IF(B95="","",IF(T95=Q95,"OK","CHECK"))</f>
        <v/>
      </c>
    </row>
    <row r="96">
      <c r="N96" s="9">
        <f>IF(OR(K96="",L96=""),"",(L96-K96)/L96)</f>
        <v/>
      </c>
      <c r="O96" s="10" t="n"/>
      <c r="S96" s="11">
        <f>IF(Q96="","",IF(Q96&lt;=0,"OUT OF STOCK",IF(Q96&lt;=R96,"REORDER","OK")))</f>
        <v/>
      </c>
      <c r="T96" s="11">
        <f>IF(B96="","",SUMIFS('Stock Log'!$D$2:$D$600,'Stock Log'!$B$2:$B$600,B96))</f>
        <v/>
      </c>
      <c r="U96" s="11">
        <f>IF(B96="","",IF(T96=Q96,"OK","CHECK"))</f>
        <v/>
      </c>
    </row>
    <row r="97">
      <c r="N97" s="9">
        <f>IF(OR(K97="",L97=""),"",(L97-K97)/L97)</f>
        <v/>
      </c>
      <c r="O97" s="10" t="n"/>
      <c r="S97" s="11">
        <f>IF(Q97="","",IF(Q97&lt;=0,"OUT OF STOCK",IF(Q97&lt;=R97,"REORDER","OK")))</f>
        <v/>
      </c>
      <c r="T97" s="11">
        <f>IF(B97="","",SUMIFS('Stock Log'!$D$2:$D$600,'Stock Log'!$B$2:$B$600,B97))</f>
        <v/>
      </c>
      <c r="U97" s="11">
        <f>IF(B97="","",IF(T97=Q97,"OK","CHECK"))</f>
        <v/>
      </c>
    </row>
    <row r="98">
      <c r="N98" s="9">
        <f>IF(OR(K98="",L98=""),"",(L98-K98)/L98)</f>
        <v/>
      </c>
      <c r="O98" s="10" t="n"/>
      <c r="S98" s="11">
        <f>IF(Q98="","",IF(Q98&lt;=0,"OUT OF STOCK",IF(Q98&lt;=R98,"REORDER","OK")))</f>
        <v/>
      </c>
      <c r="T98" s="11">
        <f>IF(B98="","",SUMIFS('Stock Log'!$D$2:$D$600,'Stock Log'!$B$2:$B$600,B98))</f>
        <v/>
      </c>
      <c r="U98" s="11">
        <f>IF(B98="","",IF(T98=Q98,"OK","CHECK"))</f>
        <v/>
      </c>
    </row>
    <row r="99">
      <c r="N99" s="9">
        <f>IF(OR(K99="",L99=""),"",(L99-K99)/L99)</f>
        <v/>
      </c>
      <c r="O99" s="10" t="n"/>
      <c r="S99" s="11">
        <f>IF(Q99="","",IF(Q99&lt;=0,"OUT OF STOCK",IF(Q99&lt;=R99,"REORDER","OK")))</f>
        <v/>
      </c>
      <c r="T99" s="11">
        <f>IF(B99="","",SUMIFS('Stock Log'!$D$2:$D$600,'Stock Log'!$B$2:$B$600,B99))</f>
        <v/>
      </c>
      <c r="U99" s="11">
        <f>IF(B99="","",IF(T99=Q99,"OK","CHECK"))</f>
        <v/>
      </c>
    </row>
    <row r="100">
      <c r="N100" s="9">
        <f>IF(OR(K100="",L100=""),"",(L100-K100)/L100)</f>
        <v/>
      </c>
      <c r="O100" s="10" t="n"/>
      <c r="S100" s="11">
        <f>IF(Q100="","",IF(Q100&lt;=0,"OUT OF STOCK",IF(Q100&lt;=R100,"REORDER","OK")))</f>
        <v/>
      </c>
      <c r="T100" s="11">
        <f>IF(B100="","",SUMIFS('Stock Log'!$D$2:$D$600,'Stock Log'!$B$2:$B$600,B100))</f>
        <v/>
      </c>
      <c r="U100" s="11">
        <f>IF(B100="","",IF(T100=Q100,"OK","CHECK"))</f>
        <v/>
      </c>
    </row>
    <row r="101">
      <c r="N101" s="9">
        <f>IF(OR(K101="",L101=""),"",(L101-K101)/L101)</f>
        <v/>
      </c>
      <c r="O101" s="10" t="n"/>
      <c r="S101" s="11">
        <f>IF(Q101="","",IF(Q101&lt;=0,"OUT OF STOCK",IF(Q101&lt;=R101,"REORDER","OK")))</f>
        <v/>
      </c>
      <c r="T101" s="11">
        <f>IF(B101="","",SUMIFS('Stock Log'!$D$2:$D$600,'Stock Log'!$B$2:$B$600,B101))</f>
        <v/>
      </c>
      <c r="U101" s="11">
        <f>IF(B101="","",IF(T101=Q101,"OK","CHECK"))</f>
        <v/>
      </c>
    </row>
    <row r="102">
      <c r="N102" s="9">
        <f>IF(OR(K102="",L102=""),"",(L102-K102)/L102)</f>
        <v/>
      </c>
      <c r="O102" s="10" t="n"/>
      <c r="S102" s="11">
        <f>IF(Q102="","",IF(Q102&lt;=0,"OUT OF STOCK",IF(Q102&lt;=R102,"REORDER","OK")))</f>
        <v/>
      </c>
      <c r="T102" s="11">
        <f>IF(B102="","",SUMIFS('Stock Log'!$D$2:$D$600,'Stock Log'!$B$2:$B$600,B102))</f>
        <v/>
      </c>
      <c r="U102" s="11">
        <f>IF(B102="","",IF(T102=Q102,"OK","CHECK"))</f>
        <v/>
      </c>
    </row>
    <row r="103">
      <c r="N103" s="9">
        <f>IF(OR(K103="",L103=""),"",(L103-K103)/L103)</f>
        <v/>
      </c>
      <c r="O103" s="10" t="n"/>
      <c r="S103" s="11">
        <f>IF(Q103="","",IF(Q103&lt;=0,"OUT OF STOCK",IF(Q103&lt;=R103,"REORDER","OK")))</f>
        <v/>
      </c>
      <c r="T103" s="11">
        <f>IF(B103="","",SUMIFS('Stock Log'!$D$2:$D$600,'Stock Log'!$B$2:$B$600,B103))</f>
        <v/>
      </c>
      <c r="U103" s="11">
        <f>IF(B103="","",IF(T103=Q103,"OK","CHECK"))</f>
        <v/>
      </c>
    </row>
    <row r="104">
      <c r="N104" s="9">
        <f>IF(OR(K104="",L104=""),"",(L104-K104)/L104)</f>
        <v/>
      </c>
      <c r="O104" s="10" t="n"/>
      <c r="S104" s="11">
        <f>IF(Q104="","",IF(Q104&lt;=0,"OUT OF STOCK",IF(Q104&lt;=R104,"REORDER","OK")))</f>
        <v/>
      </c>
      <c r="T104" s="11">
        <f>IF(B104="","",SUMIFS('Stock Log'!$D$2:$D$600,'Stock Log'!$B$2:$B$600,B104))</f>
        <v/>
      </c>
      <c r="U104" s="11">
        <f>IF(B104="","",IF(T104=Q104,"OK","CHECK"))</f>
        <v/>
      </c>
    </row>
    <row r="105">
      <c r="N105" s="9">
        <f>IF(OR(K105="",L105=""),"",(L105-K105)/L105)</f>
        <v/>
      </c>
      <c r="O105" s="10" t="n"/>
      <c r="S105" s="11">
        <f>IF(Q105="","",IF(Q105&lt;=0,"OUT OF STOCK",IF(Q105&lt;=R105,"REORDER","OK")))</f>
        <v/>
      </c>
      <c r="T105" s="11">
        <f>IF(B105="","",SUMIFS('Stock Log'!$D$2:$D$600,'Stock Log'!$B$2:$B$600,B105))</f>
        <v/>
      </c>
      <c r="U105" s="11">
        <f>IF(B105="","",IF(T105=Q105,"OK","CHECK"))</f>
        <v/>
      </c>
    </row>
    <row r="106">
      <c r="N106" s="9">
        <f>IF(OR(K106="",L106=""),"",(L106-K106)/L106)</f>
        <v/>
      </c>
      <c r="O106" s="10" t="n"/>
      <c r="S106" s="11">
        <f>IF(Q106="","",IF(Q106&lt;=0,"OUT OF STOCK",IF(Q106&lt;=R106,"REORDER","OK")))</f>
        <v/>
      </c>
      <c r="T106" s="11">
        <f>IF(B106="","",SUMIFS('Stock Log'!$D$2:$D$600,'Stock Log'!$B$2:$B$600,B106))</f>
        <v/>
      </c>
      <c r="U106" s="11">
        <f>IF(B106="","",IF(T106=Q106,"OK","CHECK"))</f>
        <v/>
      </c>
    </row>
    <row r="107">
      <c r="N107" s="9">
        <f>IF(OR(K107="",L107=""),"",(L107-K107)/L107)</f>
        <v/>
      </c>
      <c r="O107" s="10" t="n"/>
      <c r="S107" s="11">
        <f>IF(Q107="","",IF(Q107&lt;=0,"OUT OF STOCK",IF(Q107&lt;=R107,"REORDER","OK")))</f>
        <v/>
      </c>
      <c r="T107" s="11">
        <f>IF(B107="","",SUMIFS('Stock Log'!$D$2:$D$600,'Stock Log'!$B$2:$B$600,B107))</f>
        <v/>
      </c>
      <c r="U107" s="11">
        <f>IF(B107="","",IF(T107=Q107,"OK","CHECK"))</f>
        <v/>
      </c>
    </row>
    <row r="108">
      <c r="N108" s="9">
        <f>IF(OR(K108="",L108=""),"",(L108-K108)/L108)</f>
        <v/>
      </c>
      <c r="O108" s="10" t="n"/>
      <c r="S108" s="11">
        <f>IF(Q108="","",IF(Q108&lt;=0,"OUT OF STOCK",IF(Q108&lt;=R108,"REORDER","OK")))</f>
        <v/>
      </c>
      <c r="T108" s="11">
        <f>IF(B108="","",SUMIFS('Stock Log'!$D$2:$D$600,'Stock Log'!$B$2:$B$600,B108))</f>
        <v/>
      </c>
      <c r="U108" s="11">
        <f>IF(B108="","",IF(T108=Q108,"OK","CHECK"))</f>
        <v/>
      </c>
    </row>
    <row r="109">
      <c r="N109" s="9">
        <f>IF(OR(K109="",L109=""),"",(L109-K109)/L109)</f>
        <v/>
      </c>
      <c r="O109" s="10" t="n"/>
      <c r="S109" s="11">
        <f>IF(Q109="","",IF(Q109&lt;=0,"OUT OF STOCK",IF(Q109&lt;=R109,"REORDER","OK")))</f>
        <v/>
      </c>
      <c r="T109" s="11">
        <f>IF(B109="","",SUMIFS('Stock Log'!$D$2:$D$600,'Stock Log'!$B$2:$B$600,B109))</f>
        <v/>
      </c>
      <c r="U109" s="11">
        <f>IF(B109="","",IF(T109=Q109,"OK","CHECK"))</f>
        <v/>
      </c>
    </row>
    <row r="110">
      <c r="N110" s="9">
        <f>IF(OR(K110="",L110=""),"",(L110-K110)/L110)</f>
        <v/>
      </c>
      <c r="O110" s="10" t="n"/>
      <c r="S110" s="11">
        <f>IF(Q110="","",IF(Q110&lt;=0,"OUT OF STOCK",IF(Q110&lt;=R110,"REORDER","OK")))</f>
        <v/>
      </c>
      <c r="T110" s="11">
        <f>IF(B110="","",SUMIFS('Stock Log'!$D$2:$D$600,'Stock Log'!$B$2:$B$600,B110))</f>
        <v/>
      </c>
      <c r="U110" s="11">
        <f>IF(B110="","",IF(T110=Q110,"OK","CHECK"))</f>
        <v/>
      </c>
    </row>
    <row r="111">
      <c r="N111" s="9">
        <f>IF(OR(K111="",L111=""),"",(L111-K111)/L111)</f>
        <v/>
      </c>
      <c r="O111" s="10" t="n"/>
      <c r="S111" s="11">
        <f>IF(Q111="","",IF(Q111&lt;=0,"OUT OF STOCK",IF(Q111&lt;=R111,"REORDER","OK")))</f>
        <v/>
      </c>
      <c r="T111" s="11">
        <f>IF(B111="","",SUMIFS('Stock Log'!$D$2:$D$600,'Stock Log'!$B$2:$B$600,B111))</f>
        <v/>
      </c>
      <c r="U111" s="11">
        <f>IF(B111="","",IF(T111=Q111,"OK","CHECK"))</f>
        <v/>
      </c>
    </row>
    <row r="112">
      <c r="N112" s="9">
        <f>IF(OR(K112="",L112=""),"",(L112-K112)/L112)</f>
        <v/>
      </c>
      <c r="O112" s="10" t="n"/>
      <c r="S112" s="11">
        <f>IF(Q112="","",IF(Q112&lt;=0,"OUT OF STOCK",IF(Q112&lt;=R112,"REORDER","OK")))</f>
        <v/>
      </c>
      <c r="T112" s="11">
        <f>IF(B112="","",SUMIFS('Stock Log'!$D$2:$D$600,'Stock Log'!$B$2:$B$600,B112))</f>
        <v/>
      </c>
      <c r="U112" s="11">
        <f>IF(B112="","",IF(T112=Q112,"OK","CHECK"))</f>
        <v/>
      </c>
    </row>
    <row r="113">
      <c r="N113" s="9">
        <f>IF(OR(K113="",L113=""),"",(L113-K113)/L113)</f>
        <v/>
      </c>
      <c r="O113" s="10" t="n"/>
      <c r="S113" s="11">
        <f>IF(Q113="","",IF(Q113&lt;=0,"OUT OF STOCK",IF(Q113&lt;=R113,"REORDER","OK")))</f>
        <v/>
      </c>
      <c r="T113" s="11">
        <f>IF(B113="","",SUMIFS('Stock Log'!$D$2:$D$600,'Stock Log'!$B$2:$B$600,B113))</f>
        <v/>
      </c>
      <c r="U113" s="11">
        <f>IF(B113="","",IF(T113=Q113,"OK","CHECK"))</f>
        <v/>
      </c>
    </row>
    <row r="114">
      <c r="N114" s="9">
        <f>IF(OR(K114="",L114=""),"",(L114-K114)/L114)</f>
        <v/>
      </c>
      <c r="O114" s="10" t="n"/>
      <c r="S114" s="11">
        <f>IF(Q114="","",IF(Q114&lt;=0,"OUT OF STOCK",IF(Q114&lt;=R114,"REORDER","OK")))</f>
        <v/>
      </c>
      <c r="T114" s="11">
        <f>IF(B114="","",SUMIFS('Stock Log'!$D$2:$D$600,'Stock Log'!$B$2:$B$600,B114))</f>
        <v/>
      </c>
      <c r="U114" s="11">
        <f>IF(B114="","",IF(T114=Q114,"OK","CHECK"))</f>
        <v/>
      </c>
    </row>
    <row r="115">
      <c r="N115" s="9">
        <f>IF(OR(K115="",L115=""),"",(L115-K115)/L115)</f>
        <v/>
      </c>
      <c r="O115" s="10" t="n"/>
      <c r="S115" s="11">
        <f>IF(Q115="","",IF(Q115&lt;=0,"OUT OF STOCK",IF(Q115&lt;=R115,"REORDER","OK")))</f>
        <v/>
      </c>
      <c r="T115" s="11">
        <f>IF(B115="","",SUMIFS('Stock Log'!$D$2:$D$600,'Stock Log'!$B$2:$B$600,B115))</f>
        <v/>
      </c>
      <c r="U115" s="11">
        <f>IF(B115="","",IF(T115=Q115,"OK","CHECK"))</f>
        <v/>
      </c>
    </row>
    <row r="116">
      <c r="N116" s="9">
        <f>IF(OR(K116="",L116=""),"",(L116-K116)/L116)</f>
        <v/>
      </c>
      <c r="O116" s="10" t="n"/>
      <c r="S116" s="11">
        <f>IF(Q116="","",IF(Q116&lt;=0,"OUT OF STOCK",IF(Q116&lt;=R116,"REORDER","OK")))</f>
        <v/>
      </c>
      <c r="T116" s="11">
        <f>IF(B116="","",SUMIFS('Stock Log'!$D$2:$D$600,'Stock Log'!$B$2:$B$600,B116))</f>
        <v/>
      </c>
      <c r="U116" s="11">
        <f>IF(B116="","",IF(T116=Q116,"OK","CHECK"))</f>
        <v/>
      </c>
    </row>
    <row r="117">
      <c r="N117" s="9">
        <f>IF(OR(K117="",L117=""),"",(L117-K117)/L117)</f>
        <v/>
      </c>
      <c r="O117" s="10" t="n"/>
      <c r="S117" s="11">
        <f>IF(Q117="","",IF(Q117&lt;=0,"OUT OF STOCK",IF(Q117&lt;=R117,"REORDER","OK")))</f>
        <v/>
      </c>
      <c r="T117" s="11">
        <f>IF(B117="","",SUMIFS('Stock Log'!$D$2:$D$600,'Stock Log'!$B$2:$B$600,B117))</f>
        <v/>
      </c>
      <c r="U117" s="11">
        <f>IF(B117="","",IF(T117=Q117,"OK","CHECK"))</f>
        <v/>
      </c>
    </row>
    <row r="118">
      <c r="N118" s="9">
        <f>IF(OR(K118="",L118=""),"",(L118-K118)/L118)</f>
        <v/>
      </c>
      <c r="O118" s="10" t="n"/>
      <c r="S118" s="11">
        <f>IF(Q118="","",IF(Q118&lt;=0,"OUT OF STOCK",IF(Q118&lt;=R118,"REORDER","OK")))</f>
        <v/>
      </c>
      <c r="T118" s="11">
        <f>IF(B118="","",SUMIFS('Stock Log'!$D$2:$D$600,'Stock Log'!$B$2:$B$600,B118))</f>
        <v/>
      </c>
      <c r="U118" s="11">
        <f>IF(B118="","",IF(T118=Q118,"OK","CHECK"))</f>
        <v/>
      </c>
    </row>
    <row r="119">
      <c r="N119" s="9">
        <f>IF(OR(K119="",L119=""),"",(L119-K119)/L119)</f>
        <v/>
      </c>
      <c r="O119" s="10" t="n"/>
      <c r="S119" s="11">
        <f>IF(Q119="","",IF(Q119&lt;=0,"OUT OF STOCK",IF(Q119&lt;=R119,"REORDER","OK")))</f>
        <v/>
      </c>
      <c r="T119" s="11">
        <f>IF(B119="","",SUMIFS('Stock Log'!$D$2:$D$600,'Stock Log'!$B$2:$B$600,B119))</f>
        <v/>
      </c>
      <c r="U119" s="11">
        <f>IF(B119="","",IF(T119=Q119,"OK","CHECK"))</f>
        <v/>
      </c>
    </row>
    <row r="120">
      <c r="N120" s="9">
        <f>IF(OR(K120="",L120=""),"",(L120-K120)/L120)</f>
        <v/>
      </c>
      <c r="O120" s="10" t="n"/>
      <c r="S120" s="11">
        <f>IF(Q120="","",IF(Q120&lt;=0,"OUT OF STOCK",IF(Q120&lt;=R120,"REORDER","OK")))</f>
        <v/>
      </c>
      <c r="T120" s="11">
        <f>IF(B120="","",SUMIFS('Stock Log'!$D$2:$D$600,'Stock Log'!$B$2:$B$600,B120))</f>
        <v/>
      </c>
      <c r="U120" s="11">
        <f>IF(B120="","",IF(T120=Q120,"OK","CHECK"))</f>
        <v/>
      </c>
    </row>
    <row r="121">
      <c r="N121" s="9">
        <f>IF(OR(K121="",L121=""),"",(L121-K121)/L121)</f>
        <v/>
      </c>
      <c r="O121" s="10" t="n"/>
      <c r="S121" s="11">
        <f>IF(Q121="","",IF(Q121&lt;=0,"OUT OF STOCK",IF(Q121&lt;=R121,"REORDER","OK")))</f>
        <v/>
      </c>
      <c r="T121" s="11">
        <f>IF(B121="","",SUMIFS('Stock Log'!$D$2:$D$600,'Stock Log'!$B$2:$B$600,B121))</f>
        <v/>
      </c>
      <c r="U121" s="11">
        <f>IF(B121="","",IF(T121=Q121,"OK","CHECK"))</f>
        <v/>
      </c>
    </row>
    <row r="122">
      <c r="N122" s="9">
        <f>IF(OR(K122="",L122=""),"",(L122-K122)/L122)</f>
        <v/>
      </c>
      <c r="O122" s="10" t="n"/>
      <c r="S122" s="11">
        <f>IF(Q122="","",IF(Q122&lt;=0,"OUT OF STOCK",IF(Q122&lt;=R122,"REORDER","OK")))</f>
        <v/>
      </c>
      <c r="T122" s="11">
        <f>IF(B122="","",SUMIFS('Stock Log'!$D$2:$D$600,'Stock Log'!$B$2:$B$600,B122))</f>
        <v/>
      </c>
      <c r="U122" s="11">
        <f>IF(B122="","",IF(T122=Q122,"OK","CHECK"))</f>
        <v/>
      </c>
    </row>
    <row r="123">
      <c r="N123" s="9">
        <f>IF(OR(K123="",L123=""),"",(L123-K123)/L123)</f>
        <v/>
      </c>
      <c r="O123" s="10" t="n"/>
      <c r="S123" s="11">
        <f>IF(Q123="","",IF(Q123&lt;=0,"OUT OF STOCK",IF(Q123&lt;=R123,"REORDER","OK")))</f>
        <v/>
      </c>
      <c r="T123" s="11">
        <f>IF(B123="","",SUMIFS('Stock Log'!$D$2:$D$600,'Stock Log'!$B$2:$B$600,B123))</f>
        <v/>
      </c>
      <c r="U123" s="11">
        <f>IF(B123="","",IF(T123=Q123,"OK","CHECK"))</f>
        <v/>
      </c>
    </row>
    <row r="124">
      <c r="N124" s="9">
        <f>IF(OR(K124="",L124=""),"",(L124-K124)/L124)</f>
        <v/>
      </c>
      <c r="O124" s="10" t="n"/>
      <c r="S124" s="11">
        <f>IF(Q124="","",IF(Q124&lt;=0,"OUT OF STOCK",IF(Q124&lt;=R124,"REORDER","OK")))</f>
        <v/>
      </c>
      <c r="T124" s="11">
        <f>IF(B124="","",SUMIFS('Stock Log'!$D$2:$D$600,'Stock Log'!$B$2:$B$600,B124))</f>
        <v/>
      </c>
      <c r="U124" s="11">
        <f>IF(B124="","",IF(T124=Q124,"OK","CHECK"))</f>
        <v/>
      </c>
    </row>
    <row r="125">
      <c r="N125" s="9">
        <f>IF(OR(K125="",L125=""),"",(L125-K125)/L125)</f>
        <v/>
      </c>
      <c r="O125" s="10" t="n"/>
      <c r="S125" s="11">
        <f>IF(Q125="","",IF(Q125&lt;=0,"OUT OF STOCK",IF(Q125&lt;=R125,"REORDER","OK")))</f>
        <v/>
      </c>
      <c r="T125" s="11">
        <f>IF(B125="","",SUMIFS('Stock Log'!$D$2:$D$600,'Stock Log'!$B$2:$B$600,B125))</f>
        <v/>
      </c>
      <c r="U125" s="11">
        <f>IF(B125="","",IF(T125=Q125,"OK","CHECK"))</f>
        <v/>
      </c>
    </row>
    <row r="126">
      <c r="N126" s="9">
        <f>IF(OR(K126="",L126=""),"",(L126-K126)/L126)</f>
        <v/>
      </c>
      <c r="O126" s="10" t="n"/>
      <c r="S126" s="11">
        <f>IF(Q126="","",IF(Q126&lt;=0,"OUT OF STOCK",IF(Q126&lt;=R126,"REORDER","OK")))</f>
        <v/>
      </c>
      <c r="T126" s="11">
        <f>IF(B126="","",SUMIFS('Stock Log'!$D$2:$D$600,'Stock Log'!$B$2:$B$600,B126))</f>
        <v/>
      </c>
      <c r="U126" s="11">
        <f>IF(B126="","",IF(T126=Q126,"OK","CHECK"))</f>
        <v/>
      </c>
    </row>
    <row r="127">
      <c r="N127" s="9">
        <f>IF(OR(K127="",L127=""),"",(L127-K127)/L127)</f>
        <v/>
      </c>
      <c r="O127" s="10" t="n"/>
      <c r="S127" s="11">
        <f>IF(Q127="","",IF(Q127&lt;=0,"OUT OF STOCK",IF(Q127&lt;=R127,"REORDER","OK")))</f>
        <v/>
      </c>
      <c r="T127" s="11">
        <f>IF(B127="","",SUMIFS('Stock Log'!$D$2:$D$600,'Stock Log'!$B$2:$B$600,B127))</f>
        <v/>
      </c>
      <c r="U127" s="11">
        <f>IF(B127="","",IF(T127=Q127,"OK","CHECK"))</f>
        <v/>
      </c>
    </row>
    <row r="128">
      <c r="N128" s="9">
        <f>IF(OR(K128="",L128=""),"",(L128-K128)/L128)</f>
        <v/>
      </c>
      <c r="O128" s="10" t="n"/>
      <c r="S128" s="11">
        <f>IF(Q128="","",IF(Q128&lt;=0,"OUT OF STOCK",IF(Q128&lt;=R128,"REORDER","OK")))</f>
        <v/>
      </c>
      <c r="T128" s="11">
        <f>IF(B128="","",SUMIFS('Stock Log'!$D$2:$D$600,'Stock Log'!$B$2:$B$600,B128))</f>
        <v/>
      </c>
      <c r="U128" s="11">
        <f>IF(B128="","",IF(T128=Q128,"OK","CHECK"))</f>
        <v/>
      </c>
    </row>
    <row r="129">
      <c r="N129" s="9">
        <f>IF(OR(K129="",L129=""),"",(L129-K129)/L129)</f>
        <v/>
      </c>
      <c r="O129" s="10" t="n"/>
      <c r="S129" s="11">
        <f>IF(Q129="","",IF(Q129&lt;=0,"OUT OF STOCK",IF(Q129&lt;=R129,"REORDER","OK")))</f>
        <v/>
      </c>
      <c r="T129" s="11">
        <f>IF(B129="","",SUMIFS('Stock Log'!$D$2:$D$600,'Stock Log'!$B$2:$B$600,B129))</f>
        <v/>
      </c>
      <c r="U129" s="11">
        <f>IF(B129="","",IF(T129=Q129,"OK","CHECK"))</f>
        <v/>
      </c>
    </row>
    <row r="130">
      <c r="N130" s="9">
        <f>IF(OR(K130="",L130=""),"",(L130-K130)/L130)</f>
        <v/>
      </c>
      <c r="O130" s="10" t="n"/>
      <c r="S130" s="11">
        <f>IF(Q130="","",IF(Q130&lt;=0,"OUT OF STOCK",IF(Q130&lt;=R130,"REORDER","OK")))</f>
        <v/>
      </c>
      <c r="T130" s="11">
        <f>IF(B130="","",SUMIFS('Stock Log'!$D$2:$D$600,'Stock Log'!$B$2:$B$600,B130))</f>
        <v/>
      </c>
      <c r="U130" s="11">
        <f>IF(B130="","",IF(T130=Q130,"OK","CHECK"))</f>
        <v/>
      </c>
    </row>
    <row r="131">
      <c r="N131" s="9">
        <f>IF(OR(K131="",L131=""),"",(L131-K131)/L131)</f>
        <v/>
      </c>
      <c r="O131" s="10" t="n"/>
      <c r="S131" s="11">
        <f>IF(Q131="","",IF(Q131&lt;=0,"OUT OF STOCK",IF(Q131&lt;=R131,"REORDER","OK")))</f>
        <v/>
      </c>
      <c r="T131" s="11">
        <f>IF(B131="","",SUMIFS('Stock Log'!$D$2:$D$600,'Stock Log'!$B$2:$B$600,B131))</f>
        <v/>
      </c>
      <c r="U131" s="11">
        <f>IF(B131="","",IF(T131=Q131,"OK","CHECK"))</f>
        <v/>
      </c>
    </row>
    <row r="132">
      <c r="N132" s="9">
        <f>IF(OR(K132="",L132=""),"",(L132-K132)/L132)</f>
        <v/>
      </c>
      <c r="O132" s="10" t="n"/>
      <c r="S132" s="11">
        <f>IF(Q132="","",IF(Q132&lt;=0,"OUT OF STOCK",IF(Q132&lt;=R132,"REORDER","OK")))</f>
        <v/>
      </c>
      <c r="T132" s="11">
        <f>IF(B132="","",SUMIFS('Stock Log'!$D$2:$D$600,'Stock Log'!$B$2:$B$600,B132))</f>
        <v/>
      </c>
      <c r="U132" s="11">
        <f>IF(B132="","",IF(T132=Q132,"OK","CHECK"))</f>
        <v/>
      </c>
    </row>
    <row r="133">
      <c r="N133" s="9">
        <f>IF(OR(K133="",L133=""),"",(L133-K133)/L133)</f>
        <v/>
      </c>
      <c r="O133" s="10" t="n"/>
      <c r="S133" s="11">
        <f>IF(Q133="","",IF(Q133&lt;=0,"OUT OF STOCK",IF(Q133&lt;=R133,"REORDER","OK")))</f>
        <v/>
      </c>
      <c r="T133" s="11">
        <f>IF(B133="","",SUMIFS('Stock Log'!$D$2:$D$600,'Stock Log'!$B$2:$B$600,B133))</f>
        <v/>
      </c>
      <c r="U133" s="11">
        <f>IF(B133="","",IF(T133=Q133,"OK","CHECK"))</f>
        <v/>
      </c>
    </row>
    <row r="134">
      <c r="N134" s="9">
        <f>IF(OR(K134="",L134=""),"",(L134-K134)/L134)</f>
        <v/>
      </c>
      <c r="O134" s="10" t="n"/>
      <c r="S134" s="11">
        <f>IF(Q134="","",IF(Q134&lt;=0,"OUT OF STOCK",IF(Q134&lt;=R134,"REORDER","OK")))</f>
        <v/>
      </c>
      <c r="T134" s="11">
        <f>IF(B134="","",SUMIFS('Stock Log'!$D$2:$D$600,'Stock Log'!$B$2:$B$600,B134))</f>
        <v/>
      </c>
      <c r="U134" s="11">
        <f>IF(B134="","",IF(T134=Q134,"OK","CHECK"))</f>
        <v/>
      </c>
    </row>
    <row r="135">
      <c r="N135" s="9">
        <f>IF(OR(K135="",L135=""),"",(L135-K135)/L135)</f>
        <v/>
      </c>
      <c r="O135" s="10" t="n"/>
      <c r="S135" s="11">
        <f>IF(Q135="","",IF(Q135&lt;=0,"OUT OF STOCK",IF(Q135&lt;=R135,"REORDER","OK")))</f>
        <v/>
      </c>
      <c r="T135" s="11">
        <f>IF(B135="","",SUMIFS('Stock Log'!$D$2:$D$600,'Stock Log'!$B$2:$B$600,B135))</f>
        <v/>
      </c>
      <c r="U135" s="11">
        <f>IF(B135="","",IF(T135=Q135,"OK","CHECK"))</f>
        <v/>
      </c>
    </row>
    <row r="136">
      <c r="N136" s="9">
        <f>IF(OR(K136="",L136=""),"",(L136-K136)/L136)</f>
        <v/>
      </c>
      <c r="O136" s="10" t="n"/>
      <c r="S136" s="11">
        <f>IF(Q136="","",IF(Q136&lt;=0,"OUT OF STOCK",IF(Q136&lt;=R136,"REORDER","OK")))</f>
        <v/>
      </c>
      <c r="T136" s="11">
        <f>IF(B136="","",SUMIFS('Stock Log'!$D$2:$D$600,'Stock Log'!$B$2:$B$600,B136))</f>
        <v/>
      </c>
      <c r="U136" s="11">
        <f>IF(B136="","",IF(T136=Q136,"OK","CHECK"))</f>
        <v/>
      </c>
    </row>
    <row r="137">
      <c r="N137" s="9">
        <f>IF(OR(K137="",L137=""),"",(L137-K137)/L137)</f>
        <v/>
      </c>
      <c r="O137" s="10" t="n"/>
      <c r="S137" s="11">
        <f>IF(Q137="","",IF(Q137&lt;=0,"OUT OF STOCK",IF(Q137&lt;=R137,"REORDER","OK")))</f>
        <v/>
      </c>
      <c r="T137" s="11">
        <f>IF(B137="","",SUMIFS('Stock Log'!$D$2:$D$600,'Stock Log'!$B$2:$B$600,B137))</f>
        <v/>
      </c>
      <c r="U137" s="11">
        <f>IF(B137="","",IF(T137=Q137,"OK","CHECK"))</f>
        <v/>
      </c>
    </row>
    <row r="138">
      <c r="N138" s="9">
        <f>IF(OR(K138="",L138=""),"",(L138-K138)/L138)</f>
        <v/>
      </c>
      <c r="O138" s="10" t="n"/>
      <c r="S138" s="11">
        <f>IF(Q138="","",IF(Q138&lt;=0,"OUT OF STOCK",IF(Q138&lt;=R138,"REORDER","OK")))</f>
        <v/>
      </c>
      <c r="T138" s="11">
        <f>IF(B138="","",SUMIFS('Stock Log'!$D$2:$D$600,'Stock Log'!$B$2:$B$600,B138))</f>
        <v/>
      </c>
      <c r="U138" s="11">
        <f>IF(B138="","",IF(T138=Q138,"OK","CHECK"))</f>
        <v/>
      </c>
    </row>
    <row r="139">
      <c r="N139" s="9">
        <f>IF(OR(K139="",L139=""),"",(L139-K139)/L139)</f>
        <v/>
      </c>
      <c r="O139" s="10" t="n"/>
      <c r="S139" s="11">
        <f>IF(Q139="","",IF(Q139&lt;=0,"OUT OF STOCK",IF(Q139&lt;=R139,"REORDER","OK")))</f>
        <v/>
      </c>
      <c r="T139" s="11">
        <f>IF(B139="","",SUMIFS('Stock Log'!$D$2:$D$600,'Stock Log'!$B$2:$B$600,B139))</f>
        <v/>
      </c>
      <c r="U139" s="11">
        <f>IF(B139="","",IF(T139=Q139,"OK","CHECK"))</f>
        <v/>
      </c>
    </row>
    <row r="140">
      <c r="N140" s="9">
        <f>IF(OR(K140="",L140=""),"",(L140-K140)/L140)</f>
        <v/>
      </c>
      <c r="O140" s="10" t="n"/>
      <c r="S140" s="11">
        <f>IF(Q140="","",IF(Q140&lt;=0,"OUT OF STOCK",IF(Q140&lt;=R140,"REORDER","OK")))</f>
        <v/>
      </c>
      <c r="T140" s="11">
        <f>IF(B140="","",SUMIFS('Stock Log'!$D$2:$D$600,'Stock Log'!$B$2:$B$600,B140))</f>
        <v/>
      </c>
      <c r="U140" s="11">
        <f>IF(B140="","",IF(T140=Q140,"OK","CHECK"))</f>
        <v/>
      </c>
    </row>
    <row r="141">
      <c r="N141" s="9">
        <f>IF(OR(K141="",L141=""),"",(L141-K141)/L141)</f>
        <v/>
      </c>
      <c r="O141" s="10" t="n"/>
      <c r="S141" s="11">
        <f>IF(Q141="","",IF(Q141&lt;=0,"OUT OF STOCK",IF(Q141&lt;=R141,"REORDER","OK")))</f>
        <v/>
      </c>
      <c r="T141" s="11">
        <f>IF(B141="","",SUMIFS('Stock Log'!$D$2:$D$600,'Stock Log'!$B$2:$B$600,B141))</f>
        <v/>
      </c>
      <c r="U141" s="11">
        <f>IF(B141="","",IF(T141=Q141,"OK","CHECK"))</f>
        <v/>
      </c>
    </row>
    <row r="142">
      <c r="N142" s="9">
        <f>IF(OR(K142="",L142=""),"",(L142-K142)/L142)</f>
        <v/>
      </c>
      <c r="O142" s="10" t="n"/>
      <c r="S142" s="11">
        <f>IF(Q142="","",IF(Q142&lt;=0,"OUT OF STOCK",IF(Q142&lt;=R142,"REORDER","OK")))</f>
        <v/>
      </c>
      <c r="T142" s="11">
        <f>IF(B142="","",SUMIFS('Stock Log'!$D$2:$D$600,'Stock Log'!$B$2:$B$600,B142))</f>
        <v/>
      </c>
      <c r="U142" s="11">
        <f>IF(B142="","",IF(T142=Q142,"OK","CHECK"))</f>
        <v/>
      </c>
    </row>
    <row r="143">
      <c r="N143" s="9">
        <f>IF(OR(K143="",L143=""),"",(L143-K143)/L143)</f>
        <v/>
      </c>
      <c r="O143" s="10" t="n"/>
      <c r="S143" s="11">
        <f>IF(Q143="","",IF(Q143&lt;=0,"OUT OF STOCK",IF(Q143&lt;=R143,"REORDER","OK")))</f>
        <v/>
      </c>
      <c r="T143" s="11">
        <f>IF(B143="","",SUMIFS('Stock Log'!$D$2:$D$600,'Stock Log'!$B$2:$B$600,B143))</f>
        <v/>
      </c>
      <c r="U143" s="11">
        <f>IF(B143="","",IF(T143=Q143,"OK","CHECK"))</f>
        <v/>
      </c>
    </row>
    <row r="144">
      <c r="N144" s="9">
        <f>IF(OR(K144="",L144=""),"",(L144-K144)/L144)</f>
        <v/>
      </c>
      <c r="O144" s="10" t="n"/>
      <c r="S144" s="11">
        <f>IF(Q144="","",IF(Q144&lt;=0,"OUT OF STOCK",IF(Q144&lt;=R144,"REORDER","OK")))</f>
        <v/>
      </c>
      <c r="T144" s="11">
        <f>IF(B144="","",SUMIFS('Stock Log'!$D$2:$D$600,'Stock Log'!$B$2:$B$600,B144))</f>
        <v/>
      </c>
      <c r="U144" s="11">
        <f>IF(B144="","",IF(T144=Q144,"OK","CHECK"))</f>
        <v/>
      </c>
    </row>
    <row r="145">
      <c r="N145" s="9">
        <f>IF(OR(K145="",L145=""),"",(L145-K145)/L145)</f>
        <v/>
      </c>
      <c r="O145" s="10" t="n"/>
      <c r="S145" s="11">
        <f>IF(Q145="","",IF(Q145&lt;=0,"OUT OF STOCK",IF(Q145&lt;=R145,"REORDER","OK")))</f>
        <v/>
      </c>
      <c r="T145" s="11">
        <f>IF(B145="","",SUMIFS('Stock Log'!$D$2:$D$600,'Stock Log'!$B$2:$B$600,B145))</f>
        <v/>
      </c>
      <c r="U145" s="11">
        <f>IF(B145="","",IF(T145=Q145,"OK","CHECK"))</f>
        <v/>
      </c>
    </row>
    <row r="146">
      <c r="N146" s="9">
        <f>IF(OR(K146="",L146=""),"",(L146-K146)/L146)</f>
        <v/>
      </c>
      <c r="O146" s="10" t="n"/>
      <c r="S146" s="11">
        <f>IF(Q146="","",IF(Q146&lt;=0,"OUT OF STOCK",IF(Q146&lt;=R146,"REORDER","OK")))</f>
        <v/>
      </c>
      <c r="T146" s="11">
        <f>IF(B146="","",SUMIFS('Stock Log'!$D$2:$D$600,'Stock Log'!$B$2:$B$600,B146))</f>
        <v/>
      </c>
      <c r="U146" s="11">
        <f>IF(B146="","",IF(T146=Q146,"OK","CHECK"))</f>
        <v/>
      </c>
    </row>
    <row r="147">
      <c r="N147" s="9">
        <f>IF(OR(K147="",L147=""),"",(L147-K147)/L147)</f>
        <v/>
      </c>
      <c r="O147" s="10" t="n"/>
      <c r="S147" s="11">
        <f>IF(Q147="","",IF(Q147&lt;=0,"OUT OF STOCK",IF(Q147&lt;=R147,"REORDER","OK")))</f>
        <v/>
      </c>
      <c r="T147" s="11">
        <f>IF(B147="","",SUMIFS('Stock Log'!$D$2:$D$600,'Stock Log'!$B$2:$B$600,B147))</f>
        <v/>
      </c>
      <c r="U147" s="11">
        <f>IF(B147="","",IF(T147=Q147,"OK","CHECK"))</f>
        <v/>
      </c>
    </row>
    <row r="148">
      <c r="N148" s="9">
        <f>IF(OR(K148="",L148=""),"",(L148-K148)/L148)</f>
        <v/>
      </c>
      <c r="O148" s="10" t="n"/>
      <c r="S148" s="11">
        <f>IF(Q148="","",IF(Q148&lt;=0,"OUT OF STOCK",IF(Q148&lt;=R148,"REORDER","OK")))</f>
        <v/>
      </c>
      <c r="T148" s="11">
        <f>IF(B148="","",SUMIFS('Stock Log'!$D$2:$D$600,'Stock Log'!$B$2:$B$600,B148))</f>
        <v/>
      </c>
      <c r="U148" s="11">
        <f>IF(B148="","",IF(T148=Q148,"OK","CHECK"))</f>
        <v/>
      </c>
    </row>
    <row r="149">
      <c r="N149" s="9">
        <f>IF(OR(K149="",L149=""),"",(L149-K149)/L149)</f>
        <v/>
      </c>
      <c r="O149" s="10" t="n"/>
      <c r="S149" s="11">
        <f>IF(Q149="","",IF(Q149&lt;=0,"OUT OF STOCK",IF(Q149&lt;=R149,"REORDER","OK")))</f>
        <v/>
      </c>
      <c r="T149" s="11">
        <f>IF(B149="","",SUMIFS('Stock Log'!$D$2:$D$600,'Stock Log'!$B$2:$B$600,B149))</f>
        <v/>
      </c>
      <c r="U149" s="11">
        <f>IF(B149="","",IF(T149=Q149,"OK","CHECK"))</f>
        <v/>
      </c>
    </row>
    <row r="150">
      <c r="N150" s="9">
        <f>IF(OR(K150="",L150=""),"",(L150-K150)/L150)</f>
        <v/>
      </c>
      <c r="O150" s="10" t="n"/>
      <c r="S150" s="11">
        <f>IF(Q150="","",IF(Q150&lt;=0,"OUT OF STOCK",IF(Q150&lt;=R150,"REORDER","OK")))</f>
        <v/>
      </c>
      <c r="T150" s="11">
        <f>IF(B150="","",SUMIFS('Stock Log'!$D$2:$D$600,'Stock Log'!$B$2:$B$600,B150))</f>
        <v/>
      </c>
      <c r="U150" s="11">
        <f>IF(B150="","",IF(T150=Q150,"OK","CHECK"))</f>
        <v/>
      </c>
    </row>
    <row r="151">
      <c r="N151" s="9">
        <f>IF(OR(K151="",L151=""),"",(L151-K151)/L151)</f>
        <v/>
      </c>
      <c r="O151" s="10" t="n"/>
      <c r="S151" s="11">
        <f>IF(Q151="","",IF(Q151&lt;=0,"OUT OF STOCK",IF(Q151&lt;=R151,"REORDER","OK")))</f>
        <v/>
      </c>
      <c r="T151" s="11">
        <f>IF(B151="","",SUMIFS('Stock Log'!$D$2:$D$600,'Stock Log'!$B$2:$B$600,B151))</f>
        <v/>
      </c>
      <c r="U151" s="11">
        <f>IF(B151="","",IF(T151=Q151,"OK","CHECK"))</f>
        <v/>
      </c>
    </row>
    <row r="152">
      <c r="N152" s="9">
        <f>IF(OR(K152="",L152=""),"",(L152-K152)/L152)</f>
        <v/>
      </c>
      <c r="O152" s="10" t="n"/>
      <c r="S152" s="11">
        <f>IF(Q152="","",IF(Q152&lt;=0,"OUT OF STOCK",IF(Q152&lt;=R152,"REORDER","OK")))</f>
        <v/>
      </c>
      <c r="T152" s="11">
        <f>IF(B152="","",SUMIFS('Stock Log'!$D$2:$D$600,'Stock Log'!$B$2:$B$600,B152))</f>
        <v/>
      </c>
      <c r="U152" s="11">
        <f>IF(B152="","",IF(T152=Q152,"OK","CHECK"))</f>
        <v/>
      </c>
    </row>
    <row r="153">
      <c r="N153" s="9">
        <f>IF(OR(K153="",L153=""),"",(L153-K153)/L153)</f>
        <v/>
      </c>
      <c r="O153" s="10" t="n"/>
      <c r="S153" s="11">
        <f>IF(Q153="","",IF(Q153&lt;=0,"OUT OF STOCK",IF(Q153&lt;=R153,"REORDER","OK")))</f>
        <v/>
      </c>
      <c r="T153" s="11">
        <f>IF(B153="","",SUMIFS('Stock Log'!$D$2:$D$600,'Stock Log'!$B$2:$B$600,B153))</f>
        <v/>
      </c>
      <c r="U153" s="11">
        <f>IF(B153="","",IF(T153=Q153,"OK","CHECK"))</f>
        <v/>
      </c>
    </row>
    <row r="154">
      <c r="N154" s="9">
        <f>IF(OR(K154="",L154=""),"",(L154-K154)/L154)</f>
        <v/>
      </c>
      <c r="O154" s="10" t="n"/>
      <c r="S154" s="11">
        <f>IF(Q154="","",IF(Q154&lt;=0,"OUT OF STOCK",IF(Q154&lt;=R154,"REORDER","OK")))</f>
        <v/>
      </c>
      <c r="T154" s="11">
        <f>IF(B154="","",SUMIFS('Stock Log'!$D$2:$D$600,'Stock Log'!$B$2:$B$600,B154))</f>
        <v/>
      </c>
      <c r="U154" s="11">
        <f>IF(B154="","",IF(T154=Q154,"OK","CHECK"))</f>
        <v/>
      </c>
    </row>
    <row r="155">
      <c r="N155" s="9">
        <f>IF(OR(K155="",L155=""),"",(L155-K155)/L155)</f>
        <v/>
      </c>
      <c r="O155" s="10" t="n"/>
      <c r="S155" s="11">
        <f>IF(Q155="","",IF(Q155&lt;=0,"OUT OF STOCK",IF(Q155&lt;=R155,"REORDER","OK")))</f>
        <v/>
      </c>
      <c r="T155" s="11">
        <f>IF(B155="","",SUMIFS('Stock Log'!$D$2:$D$600,'Stock Log'!$B$2:$B$600,B155))</f>
        <v/>
      </c>
      <c r="U155" s="11">
        <f>IF(B155="","",IF(T155=Q155,"OK","CHECK"))</f>
        <v/>
      </c>
    </row>
    <row r="156">
      <c r="N156" s="9">
        <f>IF(OR(K156="",L156=""),"",(L156-K156)/L156)</f>
        <v/>
      </c>
      <c r="O156" s="10" t="n"/>
      <c r="S156" s="11">
        <f>IF(Q156="","",IF(Q156&lt;=0,"OUT OF STOCK",IF(Q156&lt;=R156,"REORDER","OK")))</f>
        <v/>
      </c>
      <c r="T156" s="11">
        <f>IF(B156="","",SUMIFS('Stock Log'!$D$2:$D$600,'Stock Log'!$B$2:$B$600,B156))</f>
        <v/>
      </c>
      <c r="U156" s="11">
        <f>IF(B156="","",IF(T156=Q156,"OK","CHECK"))</f>
        <v/>
      </c>
    </row>
    <row r="157">
      <c r="N157" s="9">
        <f>IF(OR(K157="",L157=""),"",(L157-K157)/L157)</f>
        <v/>
      </c>
      <c r="O157" s="10" t="n"/>
      <c r="S157" s="11">
        <f>IF(Q157="","",IF(Q157&lt;=0,"OUT OF STOCK",IF(Q157&lt;=R157,"REORDER","OK")))</f>
        <v/>
      </c>
      <c r="T157" s="11">
        <f>IF(B157="","",SUMIFS('Stock Log'!$D$2:$D$600,'Stock Log'!$B$2:$B$600,B157))</f>
        <v/>
      </c>
      <c r="U157" s="11">
        <f>IF(B157="","",IF(T157=Q157,"OK","CHECK"))</f>
        <v/>
      </c>
    </row>
    <row r="158">
      <c r="N158" s="9">
        <f>IF(OR(K158="",L158=""),"",(L158-K158)/L158)</f>
        <v/>
      </c>
      <c r="O158" s="10" t="n"/>
      <c r="S158" s="11">
        <f>IF(Q158="","",IF(Q158&lt;=0,"OUT OF STOCK",IF(Q158&lt;=R158,"REORDER","OK")))</f>
        <v/>
      </c>
      <c r="T158" s="11">
        <f>IF(B158="","",SUMIFS('Stock Log'!$D$2:$D$600,'Stock Log'!$B$2:$B$600,B158))</f>
        <v/>
      </c>
      <c r="U158" s="11">
        <f>IF(B158="","",IF(T158=Q158,"OK","CHECK"))</f>
        <v/>
      </c>
    </row>
    <row r="159">
      <c r="N159" s="9">
        <f>IF(OR(K159="",L159=""),"",(L159-K159)/L159)</f>
        <v/>
      </c>
      <c r="O159" s="10" t="n"/>
      <c r="S159" s="11">
        <f>IF(Q159="","",IF(Q159&lt;=0,"OUT OF STOCK",IF(Q159&lt;=R159,"REORDER","OK")))</f>
        <v/>
      </c>
      <c r="T159" s="11">
        <f>IF(B159="","",SUMIFS('Stock Log'!$D$2:$D$600,'Stock Log'!$B$2:$B$600,B159))</f>
        <v/>
      </c>
      <c r="U159" s="11">
        <f>IF(B159="","",IF(T159=Q159,"OK","CHECK"))</f>
        <v/>
      </c>
    </row>
    <row r="160">
      <c r="N160" s="9">
        <f>IF(OR(K160="",L160=""),"",(L160-K160)/L160)</f>
        <v/>
      </c>
      <c r="O160" s="10" t="n"/>
      <c r="S160" s="11">
        <f>IF(Q160="","",IF(Q160&lt;=0,"OUT OF STOCK",IF(Q160&lt;=R160,"REORDER","OK")))</f>
        <v/>
      </c>
      <c r="T160" s="11">
        <f>IF(B160="","",SUMIFS('Stock Log'!$D$2:$D$600,'Stock Log'!$B$2:$B$600,B160))</f>
        <v/>
      </c>
      <c r="U160" s="11">
        <f>IF(B160="","",IF(T160=Q160,"OK","CHECK"))</f>
        <v/>
      </c>
    </row>
    <row r="161">
      <c r="N161" s="9">
        <f>IF(OR(K161="",L161=""),"",(L161-K161)/L161)</f>
        <v/>
      </c>
      <c r="O161" s="10" t="n"/>
      <c r="S161" s="11">
        <f>IF(Q161="","",IF(Q161&lt;=0,"OUT OF STOCK",IF(Q161&lt;=R161,"REORDER","OK")))</f>
        <v/>
      </c>
      <c r="T161" s="11">
        <f>IF(B161="","",SUMIFS('Stock Log'!$D$2:$D$600,'Stock Log'!$B$2:$B$600,B161))</f>
        <v/>
      </c>
      <c r="U161" s="11">
        <f>IF(B161="","",IF(T161=Q161,"OK","CHECK"))</f>
        <v/>
      </c>
    </row>
    <row r="162">
      <c r="N162" s="9">
        <f>IF(OR(K162="",L162=""),"",(L162-K162)/L162)</f>
        <v/>
      </c>
      <c r="O162" s="10" t="n"/>
      <c r="S162" s="11">
        <f>IF(Q162="","",IF(Q162&lt;=0,"OUT OF STOCK",IF(Q162&lt;=R162,"REORDER","OK")))</f>
        <v/>
      </c>
      <c r="T162" s="11">
        <f>IF(B162="","",SUMIFS('Stock Log'!$D$2:$D$600,'Stock Log'!$B$2:$B$600,B162))</f>
        <v/>
      </c>
      <c r="U162" s="11">
        <f>IF(B162="","",IF(T162=Q162,"OK","CHECK"))</f>
        <v/>
      </c>
    </row>
    <row r="163">
      <c r="N163" s="9">
        <f>IF(OR(K163="",L163=""),"",(L163-K163)/L163)</f>
        <v/>
      </c>
      <c r="O163" s="10" t="n"/>
      <c r="S163" s="11">
        <f>IF(Q163="","",IF(Q163&lt;=0,"OUT OF STOCK",IF(Q163&lt;=R163,"REORDER","OK")))</f>
        <v/>
      </c>
      <c r="T163" s="11">
        <f>IF(B163="","",SUMIFS('Stock Log'!$D$2:$D$600,'Stock Log'!$B$2:$B$600,B163))</f>
        <v/>
      </c>
      <c r="U163" s="11">
        <f>IF(B163="","",IF(T163=Q163,"OK","CHECK"))</f>
        <v/>
      </c>
    </row>
    <row r="164">
      <c r="N164" s="9">
        <f>IF(OR(K164="",L164=""),"",(L164-K164)/L164)</f>
        <v/>
      </c>
      <c r="O164" s="10" t="n"/>
      <c r="S164" s="11">
        <f>IF(Q164="","",IF(Q164&lt;=0,"OUT OF STOCK",IF(Q164&lt;=R164,"REORDER","OK")))</f>
        <v/>
      </c>
      <c r="T164" s="11">
        <f>IF(B164="","",SUMIFS('Stock Log'!$D$2:$D$600,'Stock Log'!$B$2:$B$600,B164))</f>
        <v/>
      </c>
      <c r="U164" s="11">
        <f>IF(B164="","",IF(T164=Q164,"OK","CHECK"))</f>
        <v/>
      </c>
    </row>
    <row r="165">
      <c r="N165" s="9">
        <f>IF(OR(K165="",L165=""),"",(L165-K165)/L165)</f>
        <v/>
      </c>
      <c r="O165" s="10" t="n"/>
      <c r="S165" s="11">
        <f>IF(Q165="","",IF(Q165&lt;=0,"OUT OF STOCK",IF(Q165&lt;=R165,"REORDER","OK")))</f>
        <v/>
      </c>
      <c r="T165" s="11">
        <f>IF(B165="","",SUMIFS('Stock Log'!$D$2:$D$600,'Stock Log'!$B$2:$B$600,B165))</f>
        <v/>
      </c>
      <c r="U165" s="11">
        <f>IF(B165="","",IF(T165=Q165,"OK","CHECK"))</f>
        <v/>
      </c>
    </row>
    <row r="166">
      <c r="N166" s="9">
        <f>IF(OR(K166="",L166=""),"",(L166-K166)/L166)</f>
        <v/>
      </c>
      <c r="O166" s="10" t="n"/>
      <c r="S166" s="11">
        <f>IF(Q166="","",IF(Q166&lt;=0,"OUT OF STOCK",IF(Q166&lt;=R166,"REORDER","OK")))</f>
        <v/>
      </c>
      <c r="T166" s="11">
        <f>IF(B166="","",SUMIFS('Stock Log'!$D$2:$D$600,'Stock Log'!$B$2:$B$600,B166))</f>
        <v/>
      </c>
      <c r="U166" s="11">
        <f>IF(B166="","",IF(T166=Q166,"OK","CHECK"))</f>
        <v/>
      </c>
    </row>
    <row r="167">
      <c r="N167" s="9">
        <f>IF(OR(K167="",L167=""),"",(L167-K167)/L167)</f>
        <v/>
      </c>
      <c r="O167" s="10" t="n"/>
      <c r="S167" s="11">
        <f>IF(Q167="","",IF(Q167&lt;=0,"OUT OF STOCK",IF(Q167&lt;=R167,"REORDER","OK")))</f>
        <v/>
      </c>
      <c r="T167" s="11">
        <f>IF(B167="","",SUMIFS('Stock Log'!$D$2:$D$600,'Stock Log'!$B$2:$B$600,B167))</f>
        <v/>
      </c>
      <c r="U167" s="11">
        <f>IF(B167="","",IF(T167=Q167,"OK","CHECK"))</f>
        <v/>
      </c>
    </row>
    <row r="168">
      <c r="N168" s="9">
        <f>IF(OR(K168="",L168=""),"",(L168-K168)/L168)</f>
        <v/>
      </c>
      <c r="O168" s="10" t="n"/>
      <c r="S168" s="11">
        <f>IF(Q168="","",IF(Q168&lt;=0,"OUT OF STOCK",IF(Q168&lt;=R168,"REORDER","OK")))</f>
        <v/>
      </c>
      <c r="T168" s="11">
        <f>IF(B168="","",SUMIFS('Stock Log'!$D$2:$D$600,'Stock Log'!$B$2:$B$600,B168))</f>
        <v/>
      </c>
      <c r="U168" s="11">
        <f>IF(B168="","",IF(T168=Q168,"OK","CHECK"))</f>
        <v/>
      </c>
    </row>
    <row r="169">
      <c r="N169" s="9">
        <f>IF(OR(K169="",L169=""),"",(L169-K169)/L169)</f>
        <v/>
      </c>
      <c r="O169" s="10" t="n"/>
      <c r="S169" s="11">
        <f>IF(Q169="","",IF(Q169&lt;=0,"OUT OF STOCK",IF(Q169&lt;=R169,"REORDER","OK")))</f>
        <v/>
      </c>
      <c r="T169" s="11">
        <f>IF(B169="","",SUMIFS('Stock Log'!$D$2:$D$600,'Stock Log'!$B$2:$B$600,B169))</f>
        <v/>
      </c>
      <c r="U169" s="11">
        <f>IF(B169="","",IF(T169=Q169,"OK","CHECK"))</f>
        <v/>
      </c>
    </row>
    <row r="170">
      <c r="N170" s="9">
        <f>IF(OR(K170="",L170=""),"",(L170-K170)/L170)</f>
        <v/>
      </c>
      <c r="O170" s="10" t="n"/>
      <c r="S170" s="11">
        <f>IF(Q170="","",IF(Q170&lt;=0,"OUT OF STOCK",IF(Q170&lt;=R170,"REORDER","OK")))</f>
        <v/>
      </c>
      <c r="T170" s="11">
        <f>IF(B170="","",SUMIFS('Stock Log'!$D$2:$D$600,'Stock Log'!$B$2:$B$600,B170))</f>
        <v/>
      </c>
      <c r="U170" s="11">
        <f>IF(B170="","",IF(T170=Q170,"OK","CHECK"))</f>
        <v/>
      </c>
    </row>
    <row r="171">
      <c r="N171" s="9">
        <f>IF(OR(K171="",L171=""),"",(L171-K171)/L171)</f>
        <v/>
      </c>
      <c r="O171" s="10" t="n"/>
      <c r="S171" s="11">
        <f>IF(Q171="","",IF(Q171&lt;=0,"OUT OF STOCK",IF(Q171&lt;=R171,"REORDER","OK")))</f>
        <v/>
      </c>
      <c r="T171" s="11">
        <f>IF(B171="","",SUMIFS('Stock Log'!$D$2:$D$600,'Stock Log'!$B$2:$B$600,B171))</f>
        <v/>
      </c>
      <c r="U171" s="11">
        <f>IF(B171="","",IF(T171=Q171,"OK","CHECK"))</f>
        <v/>
      </c>
    </row>
    <row r="172">
      <c r="N172" s="9">
        <f>IF(OR(K172="",L172=""),"",(L172-K172)/L172)</f>
        <v/>
      </c>
      <c r="O172" s="10" t="n"/>
      <c r="S172" s="11">
        <f>IF(Q172="","",IF(Q172&lt;=0,"OUT OF STOCK",IF(Q172&lt;=R172,"REORDER","OK")))</f>
        <v/>
      </c>
      <c r="T172" s="11">
        <f>IF(B172="","",SUMIFS('Stock Log'!$D$2:$D$600,'Stock Log'!$B$2:$B$600,B172))</f>
        <v/>
      </c>
      <c r="U172" s="11">
        <f>IF(B172="","",IF(T172=Q172,"OK","CHECK"))</f>
        <v/>
      </c>
    </row>
    <row r="173">
      <c r="N173" s="9">
        <f>IF(OR(K173="",L173=""),"",(L173-K173)/L173)</f>
        <v/>
      </c>
      <c r="O173" s="10" t="n"/>
      <c r="S173" s="11">
        <f>IF(Q173="","",IF(Q173&lt;=0,"OUT OF STOCK",IF(Q173&lt;=R173,"REORDER","OK")))</f>
        <v/>
      </c>
      <c r="T173" s="11">
        <f>IF(B173="","",SUMIFS('Stock Log'!$D$2:$D$600,'Stock Log'!$B$2:$B$600,B173))</f>
        <v/>
      </c>
      <c r="U173" s="11">
        <f>IF(B173="","",IF(T173=Q173,"OK","CHECK"))</f>
        <v/>
      </c>
    </row>
    <row r="174">
      <c r="N174" s="9">
        <f>IF(OR(K174="",L174=""),"",(L174-K174)/L174)</f>
        <v/>
      </c>
      <c r="O174" s="10" t="n"/>
      <c r="S174" s="11">
        <f>IF(Q174="","",IF(Q174&lt;=0,"OUT OF STOCK",IF(Q174&lt;=R174,"REORDER","OK")))</f>
        <v/>
      </c>
      <c r="T174" s="11">
        <f>IF(B174="","",SUMIFS('Stock Log'!$D$2:$D$600,'Stock Log'!$B$2:$B$600,B174))</f>
        <v/>
      </c>
      <c r="U174" s="11">
        <f>IF(B174="","",IF(T174=Q174,"OK","CHECK"))</f>
        <v/>
      </c>
    </row>
    <row r="175">
      <c r="N175" s="9">
        <f>IF(OR(K175="",L175=""),"",(L175-K175)/L175)</f>
        <v/>
      </c>
      <c r="O175" s="10" t="n"/>
      <c r="S175" s="11">
        <f>IF(Q175="","",IF(Q175&lt;=0,"OUT OF STOCK",IF(Q175&lt;=R175,"REORDER","OK")))</f>
        <v/>
      </c>
      <c r="T175" s="11">
        <f>IF(B175="","",SUMIFS('Stock Log'!$D$2:$D$600,'Stock Log'!$B$2:$B$600,B175))</f>
        <v/>
      </c>
      <c r="U175" s="11">
        <f>IF(B175="","",IF(T175=Q175,"OK","CHECK"))</f>
        <v/>
      </c>
    </row>
    <row r="176">
      <c r="N176" s="9">
        <f>IF(OR(K176="",L176=""),"",(L176-K176)/L176)</f>
        <v/>
      </c>
      <c r="O176" s="10" t="n"/>
      <c r="S176" s="11">
        <f>IF(Q176="","",IF(Q176&lt;=0,"OUT OF STOCK",IF(Q176&lt;=R176,"REORDER","OK")))</f>
        <v/>
      </c>
      <c r="T176" s="11">
        <f>IF(B176="","",SUMIFS('Stock Log'!$D$2:$D$600,'Stock Log'!$B$2:$B$600,B176))</f>
        <v/>
      </c>
      <c r="U176" s="11">
        <f>IF(B176="","",IF(T176=Q176,"OK","CHECK"))</f>
        <v/>
      </c>
    </row>
    <row r="177">
      <c r="N177" s="9">
        <f>IF(OR(K177="",L177=""),"",(L177-K177)/L177)</f>
        <v/>
      </c>
      <c r="O177" s="10" t="n"/>
      <c r="S177" s="11">
        <f>IF(Q177="","",IF(Q177&lt;=0,"OUT OF STOCK",IF(Q177&lt;=R177,"REORDER","OK")))</f>
        <v/>
      </c>
      <c r="T177" s="11">
        <f>IF(B177="","",SUMIFS('Stock Log'!$D$2:$D$600,'Stock Log'!$B$2:$B$600,B177))</f>
        <v/>
      </c>
      <c r="U177" s="11">
        <f>IF(B177="","",IF(T177=Q177,"OK","CHECK"))</f>
        <v/>
      </c>
    </row>
    <row r="178">
      <c r="N178" s="9">
        <f>IF(OR(K178="",L178=""),"",(L178-K178)/L178)</f>
        <v/>
      </c>
      <c r="O178" s="10" t="n"/>
      <c r="S178" s="11">
        <f>IF(Q178="","",IF(Q178&lt;=0,"OUT OF STOCK",IF(Q178&lt;=R178,"REORDER","OK")))</f>
        <v/>
      </c>
      <c r="T178" s="11">
        <f>IF(B178="","",SUMIFS('Stock Log'!$D$2:$D$600,'Stock Log'!$B$2:$B$600,B178))</f>
        <v/>
      </c>
      <c r="U178" s="11">
        <f>IF(B178="","",IF(T178=Q178,"OK","CHECK"))</f>
        <v/>
      </c>
    </row>
    <row r="179">
      <c r="N179" s="9">
        <f>IF(OR(K179="",L179=""),"",(L179-K179)/L179)</f>
        <v/>
      </c>
      <c r="O179" s="10" t="n"/>
      <c r="S179" s="11">
        <f>IF(Q179="","",IF(Q179&lt;=0,"OUT OF STOCK",IF(Q179&lt;=R179,"REORDER","OK")))</f>
        <v/>
      </c>
      <c r="T179" s="11">
        <f>IF(B179="","",SUMIFS('Stock Log'!$D$2:$D$600,'Stock Log'!$B$2:$B$600,B179))</f>
        <v/>
      </c>
      <c r="U179" s="11">
        <f>IF(B179="","",IF(T179=Q179,"OK","CHECK"))</f>
        <v/>
      </c>
    </row>
    <row r="180">
      <c r="N180" s="9">
        <f>IF(OR(K180="",L180=""),"",(L180-K180)/L180)</f>
        <v/>
      </c>
      <c r="O180" s="10" t="n"/>
      <c r="S180" s="11">
        <f>IF(Q180="","",IF(Q180&lt;=0,"OUT OF STOCK",IF(Q180&lt;=R180,"REORDER","OK")))</f>
        <v/>
      </c>
      <c r="T180" s="11">
        <f>IF(B180="","",SUMIFS('Stock Log'!$D$2:$D$600,'Stock Log'!$B$2:$B$600,B180))</f>
        <v/>
      </c>
      <c r="U180" s="11">
        <f>IF(B180="","",IF(T180=Q180,"OK","CHECK"))</f>
        <v/>
      </c>
    </row>
    <row r="181">
      <c r="N181" s="9">
        <f>IF(OR(K181="",L181=""),"",(L181-K181)/L181)</f>
        <v/>
      </c>
      <c r="O181" s="10" t="n"/>
      <c r="S181" s="11">
        <f>IF(Q181="","",IF(Q181&lt;=0,"OUT OF STOCK",IF(Q181&lt;=R181,"REORDER","OK")))</f>
        <v/>
      </c>
      <c r="T181" s="11">
        <f>IF(B181="","",SUMIFS('Stock Log'!$D$2:$D$600,'Stock Log'!$B$2:$B$600,B181))</f>
        <v/>
      </c>
      <c r="U181" s="11">
        <f>IF(B181="","",IF(T181=Q181,"OK","CHECK"))</f>
        <v/>
      </c>
    </row>
    <row r="182">
      <c r="N182" s="9">
        <f>IF(OR(K182="",L182=""),"",(L182-K182)/L182)</f>
        <v/>
      </c>
      <c r="O182" s="10" t="n"/>
      <c r="S182" s="11">
        <f>IF(Q182="","",IF(Q182&lt;=0,"OUT OF STOCK",IF(Q182&lt;=R182,"REORDER","OK")))</f>
        <v/>
      </c>
      <c r="T182" s="11">
        <f>IF(B182="","",SUMIFS('Stock Log'!$D$2:$D$600,'Stock Log'!$B$2:$B$600,B182))</f>
        <v/>
      </c>
      <c r="U182" s="11">
        <f>IF(B182="","",IF(T182=Q182,"OK","CHECK"))</f>
        <v/>
      </c>
    </row>
    <row r="183">
      <c r="N183" s="9">
        <f>IF(OR(K183="",L183=""),"",(L183-K183)/L183)</f>
        <v/>
      </c>
      <c r="O183" s="10" t="n"/>
      <c r="S183" s="11">
        <f>IF(Q183="","",IF(Q183&lt;=0,"OUT OF STOCK",IF(Q183&lt;=R183,"REORDER","OK")))</f>
        <v/>
      </c>
      <c r="T183" s="11">
        <f>IF(B183="","",SUMIFS('Stock Log'!$D$2:$D$600,'Stock Log'!$B$2:$B$600,B183))</f>
        <v/>
      </c>
      <c r="U183" s="11">
        <f>IF(B183="","",IF(T183=Q183,"OK","CHECK"))</f>
        <v/>
      </c>
    </row>
    <row r="184">
      <c r="N184" s="9">
        <f>IF(OR(K184="",L184=""),"",(L184-K184)/L184)</f>
        <v/>
      </c>
      <c r="O184" s="10" t="n"/>
      <c r="S184" s="11">
        <f>IF(Q184="","",IF(Q184&lt;=0,"OUT OF STOCK",IF(Q184&lt;=R184,"REORDER","OK")))</f>
        <v/>
      </c>
      <c r="T184" s="11">
        <f>IF(B184="","",SUMIFS('Stock Log'!$D$2:$D$600,'Stock Log'!$B$2:$B$600,B184))</f>
        <v/>
      </c>
      <c r="U184" s="11">
        <f>IF(B184="","",IF(T184=Q184,"OK","CHECK"))</f>
        <v/>
      </c>
    </row>
    <row r="185">
      <c r="N185" s="9">
        <f>IF(OR(K185="",L185=""),"",(L185-K185)/L185)</f>
        <v/>
      </c>
      <c r="O185" s="10" t="n"/>
      <c r="S185" s="11">
        <f>IF(Q185="","",IF(Q185&lt;=0,"OUT OF STOCK",IF(Q185&lt;=R185,"REORDER","OK")))</f>
        <v/>
      </c>
      <c r="T185" s="11">
        <f>IF(B185="","",SUMIFS('Stock Log'!$D$2:$D$600,'Stock Log'!$B$2:$B$600,B185))</f>
        <v/>
      </c>
      <c r="U185" s="11">
        <f>IF(B185="","",IF(T185=Q185,"OK","CHECK"))</f>
        <v/>
      </c>
    </row>
    <row r="186">
      <c r="N186" s="9">
        <f>IF(OR(K186="",L186=""),"",(L186-K186)/L186)</f>
        <v/>
      </c>
      <c r="O186" s="10" t="n"/>
      <c r="S186" s="11">
        <f>IF(Q186="","",IF(Q186&lt;=0,"OUT OF STOCK",IF(Q186&lt;=R186,"REORDER","OK")))</f>
        <v/>
      </c>
      <c r="T186" s="11">
        <f>IF(B186="","",SUMIFS('Stock Log'!$D$2:$D$600,'Stock Log'!$B$2:$B$600,B186))</f>
        <v/>
      </c>
      <c r="U186" s="11">
        <f>IF(B186="","",IF(T186=Q186,"OK","CHECK"))</f>
        <v/>
      </c>
    </row>
    <row r="187">
      <c r="N187" s="9">
        <f>IF(OR(K187="",L187=""),"",(L187-K187)/L187)</f>
        <v/>
      </c>
      <c r="O187" s="10" t="n"/>
      <c r="S187" s="11">
        <f>IF(Q187="","",IF(Q187&lt;=0,"OUT OF STOCK",IF(Q187&lt;=R187,"REORDER","OK")))</f>
        <v/>
      </c>
      <c r="T187" s="11">
        <f>IF(B187="","",SUMIFS('Stock Log'!$D$2:$D$600,'Stock Log'!$B$2:$B$600,B187))</f>
        <v/>
      </c>
      <c r="U187" s="11">
        <f>IF(B187="","",IF(T187=Q187,"OK","CHECK"))</f>
        <v/>
      </c>
    </row>
    <row r="188">
      <c r="N188" s="9">
        <f>IF(OR(K188="",L188=""),"",(L188-K188)/L188)</f>
        <v/>
      </c>
      <c r="O188" s="10" t="n"/>
      <c r="S188" s="11">
        <f>IF(Q188="","",IF(Q188&lt;=0,"OUT OF STOCK",IF(Q188&lt;=R188,"REORDER","OK")))</f>
        <v/>
      </c>
      <c r="T188" s="11">
        <f>IF(B188="","",SUMIFS('Stock Log'!$D$2:$D$600,'Stock Log'!$B$2:$B$600,B188))</f>
        <v/>
      </c>
      <c r="U188" s="11">
        <f>IF(B188="","",IF(T188=Q188,"OK","CHECK"))</f>
        <v/>
      </c>
    </row>
    <row r="189">
      <c r="N189" s="9">
        <f>IF(OR(K189="",L189=""),"",(L189-K189)/L189)</f>
        <v/>
      </c>
      <c r="O189" s="10" t="n"/>
      <c r="S189" s="11">
        <f>IF(Q189="","",IF(Q189&lt;=0,"OUT OF STOCK",IF(Q189&lt;=R189,"REORDER","OK")))</f>
        <v/>
      </c>
      <c r="T189" s="11">
        <f>IF(B189="","",SUMIFS('Stock Log'!$D$2:$D$600,'Stock Log'!$B$2:$B$600,B189))</f>
        <v/>
      </c>
      <c r="U189" s="11">
        <f>IF(B189="","",IF(T189=Q189,"OK","CHECK"))</f>
        <v/>
      </c>
    </row>
    <row r="190">
      <c r="N190" s="9">
        <f>IF(OR(K190="",L190=""),"",(L190-K190)/L190)</f>
        <v/>
      </c>
      <c r="O190" s="10" t="n"/>
      <c r="S190" s="11">
        <f>IF(Q190="","",IF(Q190&lt;=0,"OUT OF STOCK",IF(Q190&lt;=R190,"REORDER","OK")))</f>
        <v/>
      </c>
      <c r="T190" s="11">
        <f>IF(B190="","",SUMIFS('Stock Log'!$D$2:$D$600,'Stock Log'!$B$2:$B$600,B190))</f>
        <v/>
      </c>
      <c r="U190" s="11">
        <f>IF(B190="","",IF(T190=Q190,"OK","CHECK"))</f>
        <v/>
      </c>
    </row>
    <row r="191">
      <c r="N191" s="9">
        <f>IF(OR(K191="",L191=""),"",(L191-K191)/L191)</f>
        <v/>
      </c>
      <c r="O191" s="10" t="n"/>
      <c r="S191" s="11">
        <f>IF(Q191="","",IF(Q191&lt;=0,"OUT OF STOCK",IF(Q191&lt;=R191,"REORDER","OK")))</f>
        <v/>
      </c>
      <c r="T191" s="11">
        <f>IF(B191="","",SUMIFS('Stock Log'!$D$2:$D$600,'Stock Log'!$B$2:$B$600,B191))</f>
        <v/>
      </c>
      <c r="U191" s="11">
        <f>IF(B191="","",IF(T191=Q191,"OK","CHECK"))</f>
        <v/>
      </c>
    </row>
    <row r="192">
      <c r="N192" s="9">
        <f>IF(OR(K192="",L192=""),"",(L192-K192)/L192)</f>
        <v/>
      </c>
      <c r="O192" s="10" t="n"/>
      <c r="S192" s="11">
        <f>IF(Q192="","",IF(Q192&lt;=0,"OUT OF STOCK",IF(Q192&lt;=R192,"REORDER","OK")))</f>
        <v/>
      </c>
      <c r="T192" s="11">
        <f>IF(B192="","",SUMIFS('Stock Log'!$D$2:$D$600,'Stock Log'!$B$2:$B$600,B192))</f>
        <v/>
      </c>
      <c r="U192" s="11">
        <f>IF(B192="","",IF(T192=Q192,"OK","CHECK"))</f>
        <v/>
      </c>
    </row>
    <row r="193">
      <c r="N193" s="9">
        <f>IF(OR(K193="",L193=""),"",(L193-K193)/L193)</f>
        <v/>
      </c>
      <c r="O193" s="10" t="n"/>
      <c r="S193" s="11">
        <f>IF(Q193="","",IF(Q193&lt;=0,"OUT OF STOCK",IF(Q193&lt;=R193,"REORDER","OK")))</f>
        <v/>
      </c>
      <c r="T193" s="11">
        <f>IF(B193="","",SUMIFS('Stock Log'!$D$2:$D$600,'Stock Log'!$B$2:$B$600,B193))</f>
        <v/>
      </c>
      <c r="U193" s="11">
        <f>IF(B193="","",IF(T193=Q193,"OK","CHECK"))</f>
        <v/>
      </c>
    </row>
    <row r="194">
      <c r="N194" s="9">
        <f>IF(OR(K194="",L194=""),"",(L194-K194)/L194)</f>
        <v/>
      </c>
      <c r="O194" s="10" t="n"/>
      <c r="S194" s="11">
        <f>IF(Q194="","",IF(Q194&lt;=0,"OUT OF STOCK",IF(Q194&lt;=R194,"REORDER","OK")))</f>
        <v/>
      </c>
      <c r="T194" s="11">
        <f>IF(B194="","",SUMIFS('Stock Log'!$D$2:$D$600,'Stock Log'!$B$2:$B$600,B194))</f>
        <v/>
      </c>
      <c r="U194" s="11">
        <f>IF(B194="","",IF(T194=Q194,"OK","CHECK"))</f>
        <v/>
      </c>
    </row>
    <row r="195">
      <c r="N195" s="9">
        <f>IF(OR(K195="",L195=""),"",(L195-K195)/L195)</f>
        <v/>
      </c>
      <c r="O195" s="10" t="n"/>
      <c r="S195" s="11">
        <f>IF(Q195="","",IF(Q195&lt;=0,"OUT OF STOCK",IF(Q195&lt;=R195,"REORDER","OK")))</f>
        <v/>
      </c>
      <c r="T195" s="11">
        <f>IF(B195="","",SUMIFS('Stock Log'!$D$2:$D$600,'Stock Log'!$B$2:$B$600,B195))</f>
        <v/>
      </c>
      <c r="U195" s="11">
        <f>IF(B195="","",IF(T195=Q195,"OK","CHECK"))</f>
        <v/>
      </c>
    </row>
    <row r="196">
      <c r="N196" s="9">
        <f>IF(OR(K196="",L196=""),"",(L196-K196)/L196)</f>
        <v/>
      </c>
      <c r="O196" s="10" t="n"/>
      <c r="S196" s="11">
        <f>IF(Q196="","",IF(Q196&lt;=0,"OUT OF STOCK",IF(Q196&lt;=R196,"REORDER","OK")))</f>
        <v/>
      </c>
      <c r="T196" s="11">
        <f>IF(B196="","",SUMIFS('Stock Log'!$D$2:$D$600,'Stock Log'!$B$2:$B$600,B196))</f>
        <v/>
      </c>
      <c r="U196" s="11">
        <f>IF(B196="","",IF(T196=Q196,"OK","CHECK"))</f>
        <v/>
      </c>
    </row>
    <row r="197">
      <c r="N197" s="9">
        <f>IF(OR(K197="",L197=""),"",(L197-K197)/L197)</f>
        <v/>
      </c>
      <c r="O197" s="10" t="n"/>
      <c r="S197" s="11">
        <f>IF(Q197="","",IF(Q197&lt;=0,"OUT OF STOCK",IF(Q197&lt;=R197,"REORDER","OK")))</f>
        <v/>
      </c>
      <c r="T197" s="11">
        <f>IF(B197="","",SUMIFS('Stock Log'!$D$2:$D$600,'Stock Log'!$B$2:$B$600,B197))</f>
        <v/>
      </c>
      <c r="U197" s="11">
        <f>IF(B197="","",IF(T197=Q197,"OK","CHECK"))</f>
        <v/>
      </c>
    </row>
    <row r="198">
      <c r="N198" s="9">
        <f>IF(OR(K198="",L198=""),"",(L198-K198)/L198)</f>
        <v/>
      </c>
      <c r="O198" s="10" t="n"/>
      <c r="S198" s="11">
        <f>IF(Q198="","",IF(Q198&lt;=0,"OUT OF STOCK",IF(Q198&lt;=R198,"REORDER","OK")))</f>
        <v/>
      </c>
      <c r="T198" s="11">
        <f>IF(B198="","",SUMIFS('Stock Log'!$D$2:$D$600,'Stock Log'!$B$2:$B$600,B198))</f>
        <v/>
      </c>
      <c r="U198" s="11">
        <f>IF(B198="","",IF(T198=Q198,"OK","CHECK"))</f>
        <v/>
      </c>
    </row>
    <row r="199">
      <c r="N199" s="9">
        <f>IF(OR(K199="",L199=""),"",(L199-K199)/L199)</f>
        <v/>
      </c>
      <c r="O199" s="10" t="n"/>
      <c r="S199" s="11">
        <f>IF(Q199="","",IF(Q199&lt;=0,"OUT OF STOCK",IF(Q199&lt;=R199,"REORDER","OK")))</f>
        <v/>
      </c>
      <c r="T199" s="11">
        <f>IF(B199="","",SUMIFS('Stock Log'!$D$2:$D$600,'Stock Log'!$B$2:$B$600,B199))</f>
        <v/>
      </c>
      <c r="U199" s="11">
        <f>IF(B199="","",IF(T199=Q199,"OK","CHECK"))</f>
        <v/>
      </c>
    </row>
    <row r="200">
      <c r="N200" s="9">
        <f>IF(OR(K200="",L200=""),"",(L200-K200)/L200)</f>
        <v/>
      </c>
      <c r="O200" s="10" t="n"/>
      <c r="S200" s="11">
        <f>IF(Q200="","",IF(Q200&lt;=0,"OUT OF STOCK",IF(Q200&lt;=R200,"REORDER","OK")))</f>
        <v/>
      </c>
      <c r="T200" s="11">
        <f>IF(B200="","",SUMIFS('Stock Log'!$D$2:$D$600,'Stock Log'!$B$2:$B$600,B200))</f>
        <v/>
      </c>
      <c r="U200" s="11">
        <f>IF(B200="","",IF(T200=Q200,"OK","CHECK"))</f>
        <v/>
      </c>
    </row>
  </sheetData>
  <autoFilter ref="A1:AD200"/>
  <conditionalFormatting sqref="S2:S200">
    <cfRule type="expression" priority="1" dxfId="0">
      <formula>$S2="OUT OF STOCK"</formula>
    </cfRule>
    <cfRule type="expression" priority="2" dxfId="1">
      <formula>$S2="REORDER"</formula>
    </cfRule>
  </conditionalFormatting>
  <conditionalFormatting sqref="U2:U200">
    <cfRule type="expression" priority="3" dxfId="0">
      <formula>$U2="CHECK"</formula>
    </cfRule>
  </conditionalFormatting>
  <dataValidations count="9">
    <dataValidation sqref="F2:F200" showDropDown="0" showInputMessage="0" showErrorMessage="1" allowBlank="1" errorTitle="Pick from the list" error="Choose a value from the Master Category dropdown (or edit the Lists sheet to add one)." type="list">
      <formula1>Lists!$A$2:$A$16</formula1>
    </dataValidation>
    <dataValidation sqref="H2:H200" showDropDown="0" showInputMessage="0" showErrorMessage="1" allowBlank="1" errorTitle="Pick from the list" error="Choose a value from the Material dropdown (or edit the Lists sheet to add one)." type="list">
      <formula1>Lists!$B$2:$B$11</formula1>
    </dataValidation>
    <dataValidation sqref="I2:I200" showDropDown="0" showInputMessage="0" showErrorMessage="1" allowBlank="1" errorTitle="Pick from the list" error="Choose a value from the Unit Type dropdown (or edit the Lists sheet to add one)." type="list">
      <formula1>Lists!$C$2:$C$4</formula1>
    </dataValidation>
    <dataValidation sqref="O2:O200" showDropDown="0" showInputMessage="0" showErrorMessage="1" allowBlank="1" errorTitle="Pick from the list" error="Choose a value from the GST Rate dropdown (or edit the Lists sheet to add one)." type="list">
      <formula1>Lists!$D$2:$D$5</formula1>
    </dataValidation>
    <dataValidation sqref="Y2:Y200" showDropDown="0" showInputMessage="0" showErrorMessage="1" allowBlank="1" errorTitle="Pick from the list" error="Choose a value from the Photo Quality dropdown (or edit the Lists sheet to add one)." type="list">
      <formula1>Lists!$E$2:$E$4</formula1>
    </dataValidation>
    <dataValidation sqref="Z2:Z200" showDropDown="0" showInputMessage="0" showErrorMessage="1" allowBlank="1" errorTitle="Pick from the list" error="Choose a value from the Live on Site dropdown (or edit the Lists sheet to add one)." type="list">
      <formula1>Lists!$F$2:$F$3</formula1>
    </dataValidation>
    <dataValidation sqref="AA2:AA200" showDropDown="0" showInputMessage="0" showErrorMessage="1" allowBlank="1" errorTitle="Pick from the list" error="Choose a value from the Listing Status dropdown (or edit the Lists sheet to add one)." type="list">
      <formula1>Lists!$G$2:$G$4</formula1>
    </dataValidation>
    <dataValidation sqref="AB2:AB200" showDropDown="0" showInputMessage="0" showErrorMessage="1" allowBlank="1" errorTitle="Pick from the list" error="Choose a value from the Sticker dropdown (or edit the Lists sheet to add one)." type="list">
      <formula1>Lists!$H$2:$H$5</formula1>
    </dataValidation>
    <dataValidation sqref="W2:W200" showDropDown="0" showInputMessage="0" showErrorMessage="1" allowBlank="1" errorTitle="Pick from the list" error="Choose a value from the Supplier dropdown (or edit the Lists sheet to add one)." type="list">
      <formula1>Lists!$J$2:$J$4</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600"/>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22" customWidth="1" min="3" max="3"/>
    <col width="14" customWidth="1" min="4" max="4"/>
    <col width="11" customWidth="1" min="5" max="5"/>
    <col width="22" customWidth="1" min="6" max="6"/>
    <col width="44" customWidth="1" min="7" max="7"/>
  </cols>
  <sheetData>
    <row r="1">
      <c r="A1" s="12" t="inlineStr">
        <is>
          <t>Date</t>
        </is>
      </c>
      <c r="B1" s="12" t="inlineStr">
        <is>
          <t>Product ID</t>
        </is>
      </c>
      <c r="C1" s="12" t="inlineStr">
        <is>
          <t>What Happened</t>
        </is>
      </c>
      <c r="D1" s="12" t="inlineStr">
        <is>
          <t>Qty  (+ in / − out)</t>
        </is>
      </c>
      <c r="E1" s="12" t="inlineStr">
        <is>
          <t>Stock After</t>
        </is>
      </c>
      <c r="F1" s="12" t="inlineStr">
        <is>
          <t>Reference (PO / Order no.)</t>
        </is>
      </c>
      <c r="G1" s="12" t="inlineStr">
        <is>
          <t>Notes</t>
        </is>
      </c>
    </row>
    <row r="2">
      <c r="A2" s="7" t="inlineStr">
        <is>
          <t>2026-07-09</t>
        </is>
      </c>
      <c r="B2" s="2" t="inlineStr">
        <is>
          <t>6343</t>
        </is>
      </c>
      <c r="C2" s="2" t="inlineStr">
        <is>
          <t>Opening stock</t>
        </is>
      </c>
      <c r="D2" s="2" t="n">
        <v>1</v>
      </c>
      <c r="E2" s="2">
        <f>IF($B2="","",SUMIFS($D$2:$D2,$B$2:$B2,$B2))</f>
        <v/>
      </c>
      <c r="F2" s="2" t="inlineStr">
        <is>
          <t>IMPORT-0709</t>
        </is>
      </c>
      <c r="G2" s="2" t="inlineStr">
        <is>
          <t>Stock on hand when this sheet was started</t>
        </is>
      </c>
    </row>
    <row r="3">
      <c r="A3" s="7" t="inlineStr">
        <is>
          <t>2026-07-09</t>
        </is>
      </c>
      <c r="B3" s="2" t="inlineStr">
        <is>
          <t>6988</t>
        </is>
      </c>
      <c r="C3" s="2" t="inlineStr">
        <is>
          <t>Opening stock</t>
        </is>
      </c>
      <c r="D3" s="2" t="n">
        <v>1</v>
      </c>
      <c r="E3" s="2">
        <f>IF($B3="","",SUMIFS($D$2:$D3,$B$2:$B3,$B3))</f>
        <v/>
      </c>
      <c r="F3" s="2" t="inlineStr">
        <is>
          <t>IMPORT-0709</t>
        </is>
      </c>
      <c r="G3" s="2" t="inlineStr">
        <is>
          <t>Stock on hand when this sheet was started</t>
        </is>
      </c>
    </row>
    <row r="4">
      <c r="A4" s="7" t="inlineStr">
        <is>
          <t>2026-07-09</t>
        </is>
      </c>
      <c r="B4" s="2" t="inlineStr">
        <is>
          <t>HA3858</t>
        </is>
      </c>
      <c r="C4" s="2" t="inlineStr">
        <is>
          <t>Opening stock</t>
        </is>
      </c>
      <c r="D4" s="2" t="n">
        <v>2</v>
      </c>
      <c r="E4" s="2">
        <f>IF($B4="","",SUMIFS($D$2:$D4,$B$2:$B4,$B4))</f>
        <v/>
      </c>
      <c r="F4" s="2" t="inlineStr">
        <is>
          <t>IMPORT-0709</t>
        </is>
      </c>
      <c r="G4" s="2" t="inlineStr">
        <is>
          <t>Stock on hand when this sheet was started</t>
        </is>
      </c>
    </row>
    <row r="5">
      <c r="A5" s="7" t="inlineStr">
        <is>
          <t>2026-07-09</t>
        </is>
      </c>
      <c r="B5" s="2" t="inlineStr">
        <is>
          <t>HA4536</t>
        </is>
      </c>
      <c r="C5" s="2" t="inlineStr">
        <is>
          <t>Opening stock</t>
        </is>
      </c>
      <c r="D5" s="2" t="n">
        <v>1</v>
      </c>
      <c r="E5" s="2">
        <f>IF($B5="","",SUMIFS($D$2:$D5,$B$2:$B5,$B5))</f>
        <v/>
      </c>
      <c r="F5" s="2" t="inlineStr">
        <is>
          <t>IMPORT-0709</t>
        </is>
      </c>
      <c r="G5" s="2" t="inlineStr">
        <is>
          <t>Stock on hand when this sheet was started</t>
        </is>
      </c>
    </row>
    <row r="6">
      <c r="A6" s="7" t="inlineStr">
        <is>
          <t>2026-07-09</t>
        </is>
      </c>
      <c r="B6" s="2" t="inlineStr">
        <is>
          <t>HA6293</t>
        </is>
      </c>
      <c r="C6" s="2" t="inlineStr">
        <is>
          <t>Opening stock</t>
        </is>
      </c>
      <c r="D6" s="2" t="n">
        <v>1</v>
      </c>
      <c r="E6" s="2">
        <f>IF($B6="","",SUMIFS($D$2:$D6,$B$2:$B6,$B6))</f>
        <v/>
      </c>
      <c r="F6" s="2" t="inlineStr">
        <is>
          <t>IMPORT-0709</t>
        </is>
      </c>
      <c r="G6" s="2" t="inlineStr">
        <is>
          <t>Stock on hand when this sheet was started</t>
        </is>
      </c>
    </row>
    <row r="7">
      <c r="A7" s="7" t="inlineStr">
        <is>
          <t>2026-07-09</t>
        </is>
      </c>
      <c r="B7" s="2" t="inlineStr">
        <is>
          <t>HA6320</t>
        </is>
      </c>
      <c r="C7" s="2" t="inlineStr">
        <is>
          <t>Opening stock</t>
        </is>
      </c>
      <c r="D7" s="2" t="n">
        <v>1</v>
      </c>
      <c r="E7" s="2">
        <f>IF($B7="","",SUMIFS($D$2:$D7,$B$2:$B7,$B7))</f>
        <v/>
      </c>
      <c r="F7" s="2" t="inlineStr">
        <is>
          <t>IMPORT-0709</t>
        </is>
      </c>
      <c r="G7" s="2" t="inlineStr">
        <is>
          <t>Stock on hand when this sheet was started</t>
        </is>
      </c>
    </row>
    <row r="8">
      <c r="A8" s="7" t="inlineStr">
        <is>
          <t>2026-07-09</t>
        </is>
      </c>
      <c r="B8" s="2" t="inlineStr">
        <is>
          <t>HA6378</t>
        </is>
      </c>
      <c r="C8" s="2" t="inlineStr">
        <is>
          <t>Opening stock</t>
        </is>
      </c>
      <c r="D8" s="2" t="n">
        <v>1</v>
      </c>
      <c r="E8" s="2">
        <f>IF($B8="","",SUMIFS($D$2:$D8,$B$2:$B8,$B8))</f>
        <v/>
      </c>
      <c r="F8" s="2" t="inlineStr">
        <is>
          <t>IMPORT-0709</t>
        </is>
      </c>
      <c r="G8" s="2" t="inlineStr">
        <is>
          <t>Stock on hand when this sheet was started</t>
        </is>
      </c>
    </row>
    <row r="9">
      <c r="A9" s="7" t="inlineStr">
        <is>
          <t>2026-07-09</t>
        </is>
      </c>
      <c r="B9" s="2" t="inlineStr">
        <is>
          <t>HA6387</t>
        </is>
      </c>
      <c r="C9" s="2" t="inlineStr">
        <is>
          <t>Opening stock</t>
        </is>
      </c>
      <c r="D9" s="2" t="n">
        <v>1</v>
      </c>
      <c r="E9" s="2">
        <f>IF($B9="","",SUMIFS($D$2:$D9,$B$2:$B9,$B9))</f>
        <v/>
      </c>
      <c r="F9" s="2" t="inlineStr">
        <is>
          <t>IMPORT-0709</t>
        </is>
      </c>
      <c r="G9" s="2" t="inlineStr">
        <is>
          <t>Stock on hand when this sheet was started</t>
        </is>
      </c>
    </row>
    <row r="10">
      <c r="A10" s="7" t="inlineStr">
        <is>
          <t>2026-07-09</t>
        </is>
      </c>
      <c r="B10" s="2" t="inlineStr">
        <is>
          <t>HA6674</t>
        </is>
      </c>
      <c r="C10" s="2" t="inlineStr">
        <is>
          <t>Opening stock</t>
        </is>
      </c>
      <c r="D10" s="2" t="n">
        <v>1</v>
      </c>
      <c r="E10" s="2">
        <f>IF($B10="","",SUMIFS($D$2:$D10,$B$2:$B10,$B10))</f>
        <v/>
      </c>
      <c r="F10" s="2" t="inlineStr">
        <is>
          <t>IMPORT-0709</t>
        </is>
      </c>
      <c r="G10" s="2" t="inlineStr">
        <is>
          <t>Stock on hand when this sheet was started</t>
        </is>
      </c>
    </row>
    <row r="11">
      <c r="A11" s="7" t="inlineStr">
        <is>
          <t>2026-07-09</t>
        </is>
      </c>
      <c r="B11" s="2" t="inlineStr">
        <is>
          <t>HA6758</t>
        </is>
      </c>
      <c r="C11" s="2" t="inlineStr">
        <is>
          <t>Opening stock</t>
        </is>
      </c>
      <c r="D11" s="2" t="n">
        <v>1</v>
      </c>
      <c r="E11" s="2">
        <f>IF($B11="","",SUMIFS($D$2:$D11,$B$2:$B11,$B11))</f>
        <v/>
      </c>
      <c r="F11" s="2" t="inlineStr">
        <is>
          <t>IMPORT-0709</t>
        </is>
      </c>
      <c r="G11" s="2" t="inlineStr">
        <is>
          <t>Stock on hand when this sheet was started</t>
        </is>
      </c>
    </row>
    <row r="12">
      <c r="A12" s="7" t="inlineStr">
        <is>
          <t>2026-07-09</t>
        </is>
      </c>
      <c r="B12" s="2" t="inlineStr">
        <is>
          <t>HA6767</t>
        </is>
      </c>
      <c r="C12" s="2" t="inlineStr">
        <is>
          <t>Opening stock</t>
        </is>
      </c>
      <c r="D12" s="2" t="n">
        <v>1</v>
      </c>
      <c r="E12" s="2">
        <f>IF($B12="","",SUMIFS($D$2:$D12,$B$2:$B12,$B12))</f>
        <v/>
      </c>
      <c r="F12" s="2" t="inlineStr">
        <is>
          <t>IMPORT-0709</t>
        </is>
      </c>
      <c r="G12" s="2" t="inlineStr">
        <is>
          <t>Stock on hand when this sheet was started</t>
        </is>
      </c>
    </row>
    <row r="13">
      <c r="A13" s="7" t="inlineStr">
        <is>
          <t>2026-07-09</t>
        </is>
      </c>
      <c r="B13" s="2" t="inlineStr">
        <is>
          <t>HA6790</t>
        </is>
      </c>
      <c r="C13" s="2" t="inlineStr">
        <is>
          <t>Opening stock</t>
        </is>
      </c>
      <c r="D13" s="2" t="n">
        <v>1</v>
      </c>
      <c r="E13" s="2">
        <f>IF($B13="","",SUMIFS($D$2:$D13,$B$2:$B13,$B13))</f>
        <v/>
      </c>
      <c r="F13" s="2" t="inlineStr">
        <is>
          <t>IMPORT-0709</t>
        </is>
      </c>
      <c r="G13" s="2" t="inlineStr">
        <is>
          <t>Stock on hand when this sheet was started</t>
        </is>
      </c>
    </row>
    <row r="14">
      <c r="A14" s="7" t="inlineStr">
        <is>
          <t>2026-07-09</t>
        </is>
      </c>
      <c r="B14" s="2" t="inlineStr">
        <is>
          <t>HA6979</t>
        </is>
      </c>
      <c r="C14" s="2" t="inlineStr">
        <is>
          <t>Opening stock</t>
        </is>
      </c>
      <c r="D14" s="2" t="n">
        <v>1</v>
      </c>
      <c r="E14" s="2">
        <f>IF($B14="","",SUMIFS($D$2:$D14,$B$2:$B14,$B14))</f>
        <v/>
      </c>
      <c r="F14" s="2" t="inlineStr">
        <is>
          <t>IMPORT-0709</t>
        </is>
      </c>
      <c r="G14" s="2" t="inlineStr">
        <is>
          <t>Stock on hand when this sheet was started</t>
        </is>
      </c>
    </row>
    <row r="15">
      <c r="A15" s="7" t="inlineStr">
        <is>
          <t>2026-07-09</t>
        </is>
      </c>
      <c r="B15" s="2" t="inlineStr">
        <is>
          <t>HA6988</t>
        </is>
      </c>
      <c r="C15" s="2" t="inlineStr">
        <is>
          <t>Opening stock</t>
        </is>
      </c>
      <c r="D15" s="2" t="n">
        <v>1</v>
      </c>
      <c r="E15" s="2">
        <f>IF($B15="","",SUMIFS($D$2:$D15,$B$2:$B15,$B15))</f>
        <v/>
      </c>
      <c r="F15" s="2" t="inlineStr">
        <is>
          <t>IMPORT-0709</t>
        </is>
      </c>
      <c r="G15" s="2" t="inlineStr">
        <is>
          <t>Stock on hand when this sheet was started</t>
        </is>
      </c>
    </row>
    <row r="16">
      <c r="A16" s="7" t="inlineStr">
        <is>
          <t>2026-07-09</t>
        </is>
      </c>
      <c r="B16" s="2" t="inlineStr">
        <is>
          <t>HA7018</t>
        </is>
      </c>
      <c r="C16" s="2" t="inlineStr">
        <is>
          <t>Opening stock</t>
        </is>
      </c>
      <c r="D16" s="2" t="n">
        <v>1</v>
      </c>
      <c r="E16" s="2">
        <f>IF($B16="","",SUMIFS($D$2:$D16,$B$2:$B16,$B16))</f>
        <v/>
      </c>
      <c r="F16" s="2" t="inlineStr">
        <is>
          <t>IMPORT-0709</t>
        </is>
      </c>
      <c r="G16" s="2" t="inlineStr">
        <is>
          <t>Stock on hand when this sheet was started</t>
        </is>
      </c>
    </row>
    <row r="17">
      <c r="A17" s="7" t="inlineStr">
        <is>
          <t>2026-07-09</t>
        </is>
      </c>
      <c r="B17" s="2" t="inlineStr">
        <is>
          <t>MI263</t>
        </is>
      </c>
      <c r="C17" s="2" t="inlineStr">
        <is>
          <t>Opening stock</t>
        </is>
      </c>
      <c r="D17" s="2" t="n">
        <v>2</v>
      </c>
      <c r="E17" s="2">
        <f>IF($B17="","",SUMIFS($D$2:$D17,$B$2:$B17,$B17))</f>
        <v/>
      </c>
      <c r="F17" s="2" t="inlineStr">
        <is>
          <t>IMPORT-0709</t>
        </is>
      </c>
      <c r="G17" s="2" t="inlineStr">
        <is>
          <t>Stock on hand when this sheet was started</t>
        </is>
      </c>
    </row>
    <row r="18">
      <c r="A18" s="7" t="inlineStr">
        <is>
          <t>2026-07-09</t>
        </is>
      </c>
      <c r="B18" s="2" t="inlineStr">
        <is>
          <t>MO2029</t>
        </is>
      </c>
      <c r="C18" s="2" t="inlineStr">
        <is>
          <t>Opening stock</t>
        </is>
      </c>
      <c r="D18" s="2" t="n">
        <v>1</v>
      </c>
      <c r="E18" s="2">
        <f>IF($B18="","",SUMIFS($D$2:$D18,$B$2:$B18,$B18))</f>
        <v/>
      </c>
      <c r="F18" s="2" t="inlineStr">
        <is>
          <t>IMPORT-0709</t>
        </is>
      </c>
      <c r="G18" s="2" t="inlineStr">
        <is>
          <t>Stock on hand when this sheet was started</t>
        </is>
      </c>
    </row>
    <row r="19">
      <c r="A19" s="7" t="inlineStr">
        <is>
          <t>2026-07-09</t>
        </is>
      </c>
      <c r="B19" s="2" t="inlineStr">
        <is>
          <t>MO3188</t>
        </is>
      </c>
      <c r="C19" s="2" t="inlineStr">
        <is>
          <t>Opening stock</t>
        </is>
      </c>
      <c r="D19" s="2" t="n">
        <v>1</v>
      </c>
      <c r="E19" s="2">
        <f>IF($B19="","",SUMIFS($D$2:$D19,$B$2:$B19,$B19))</f>
        <v/>
      </c>
      <c r="F19" s="2" t="inlineStr">
        <is>
          <t>IMPORT-0709</t>
        </is>
      </c>
      <c r="G19" s="2" t="inlineStr">
        <is>
          <t>Stock on hand when this sheet was started</t>
        </is>
      </c>
    </row>
    <row r="20">
      <c r="A20" s="7" t="inlineStr">
        <is>
          <t>2026-07-09</t>
        </is>
      </c>
      <c r="B20" s="2" t="inlineStr">
        <is>
          <t>MO3392</t>
        </is>
      </c>
      <c r="C20" s="2" t="inlineStr">
        <is>
          <t>Opening stock</t>
        </is>
      </c>
      <c r="D20" s="2" t="n">
        <v>1</v>
      </c>
      <c r="E20" s="2">
        <f>IF($B20="","",SUMIFS($D$2:$D20,$B$2:$B20,$B20))</f>
        <v/>
      </c>
      <c r="F20" s="2" t="inlineStr">
        <is>
          <t>IMPORT-0709</t>
        </is>
      </c>
      <c r="G20" s="2" t="inlineStr">
        <is>
          <t>Stock on hand when this sheet was started</t>
        </is>
      </c>
    </row>
    <row r="21">
      <c r="A21" s="7" t="inlineStr">
        <is>
          <t>2026-07-09</t>
        </is>
      </c>
      <c r="B21" s="2" t="inlineStr">
        <is>
          <t>MO3650</t>
        </is>
      </c>
      <c r="C21" s="2" t="inlineStr">
        <is>
          <t>Opening stock</t>
        </is>
      </c>
      <c r="D21" s="2" t="n">
        <v>1</v>
      </c>
      <c r="E21" s="2">
        <f>IF($B21="","",SUMIFS($D$2:$D21,$B$2:$B21,$B21))</f>
        <v/>
      </c>
      <c r="F21" s="2" t="inlineStr">
        <is>
          <t>IMPORT-0709</t>
        </is>
      </c>
      <c r="G21" s="2" t="inlineStr">
        <is>
          <t>Stock on hand when this sheet was started</t>
        </is>
      </c>
    </row>
    <row r="22">
      <c r="A22" s="7" t="inlineStr">
        <is>
          <t>2026-07-09</t>
        </is>
      </c>
      <c r="B22" s="2" t="inlineStr">
        <is>
          <t>MO3857</t>
        </is>
      </c>
      <c r="C22" s="2" t="inlineStr">
        <is>
          <t>Opening stock</t>
        </is>
      </c>
      <c r="D22" s="2" t="n">
        <v>1</v>
      </c>
      <c r="E22" s="2">
        <f>IF($B22="","",SUMIFS($D$2:$D22,$B$2:$B22,$B22))</f>
        <v/>
      </c>
      <c r="F22" s="2" t="inlineStr">
        <is>
          <t>IMPORT-0709</t>
        </is>
      </c>
      <c r="G22" s="2" t="inlineStr">
        <is>
          <t>Stock on hand when this sheet was started</t>
        </is>
      </c>
    </row>
    <row r="23">
      <c r="A23" s="7" t="inlineStr">
        <is>
          <t>2026-07-09</t>
        </is>
      </c>
      <c r="B23" s="2" t="inlineStr">
        <is>
          <t>NE1386</t>
        </is>
      </c>
      <c r="C23" s="2" t="inlineStr">
        <is>
          <t>Opening stock</t>
        </is>
      </c>
      <c r="D23" s="2" t="n">
        <v>1</v>
      </c>
      <c r="E23" s="2">
        <f>IF($B23="","",SUMIFS($D$2:$D23,$B$2:$B23,$B23))</f>
        <v/>
      </c>
      <c r="F23" s="2" t="inlineStr">
        <is>
          <t>IMPORT-0709</t>
        </is>
      </c>
      <c r="G23" s="2" t="inlineStr">
        <is>
          <t>Stock on hand when this sheet was started</t>
        </is>
      </c>
    </row>
    <row r="24">
      <c r="A24" s="7" t="inlineStr">
        <is>
          <t>2026-07-09</t>
        </is>
      </c>
      <c r="B24" s="2" t="inlineStr">
        <is>
          <t>NE1386-S31</t>
        </is>
      </c>
      <c r="C24" s="2" t="inlineStr">
        <is>
          <t>Opening stock</t>
        </is>
      </c>
      <c r="D24" s="2" t="n">
        <v>1</v>
      </c>
      <c r="E24" s="2">
        <f>IF($B24="","",SUMIFS($D$2:$D24,$B$2:$B24,$B24))</f>
        <v/>
      </c>
      <c r="F24" s="2" t="inlineStr">
        <is>
          <t>IMPORT-0709</t>
        </is>
      </c>
      <c r="G24" s="2" t="inlineStr">
        <is>
          <t>Stock on hand when this sheet was started</t>
        </is>
      </c>
    </row>
    <row r="25">
      <c r="A25" s="7" t="inlineStr">
        <is>
          <t>2026-07-09</t>
        </is>
      </c>
      <c r="B25" s="2" t="inlineStr">
        <is>
          <t>NE1386-S32</t>
        </is>
      </c>
      <c r="C25" s="2" t="inlineStr">
        <is>
          <t>Opening stock</t>
        </is>
      </c>
      <c r="D25" s="2" t="n">
        <v>1</v>
      </c>
      <c r="E25" s="2">
        <f>IF($B25="","",SUMIFS($D$2:$D25,$B$2:$B25,$B25))</f>
        <v/>
      </c>
      <c r="F25" s="2" t="inlineStr">
        <is>
          <t>IMPORT-0709</t>
        </is>
      </c>
      <c r="G25" s="2" t="inlineStr">
        <is>
          <t>Stock on hand when this sheet was started</t>
        </is>
      </c>
    </row>
    <row r="26">
      <c r="A26" s="7" t="inlineStr">
        <is>
          <t>2026-07-09</t>
        </is>
      </c>
      <c r="B26" s="2" t="inlineStr">
        <is>
          <t>NE1386-S33</t>
        </is>
      </c>
      <c r="C26" s="2" t="inlineStr">
        <is>
          <t>Opening stock</t>
        </is>
      </c>
      <c r="D26" s="2" t="n">
        <v>1</v>
      </c>
      <c r="E26" s="2">
        <f>IF($B26="","",SUMIFS($D$2:$D26,$B$2:$B26,$B26))</f>
        <v/>
      </c>
      <c r="F26" s="2" t="inlineStr">
        <is>
          <t>IMPORT-0709</t>
        </is>
      </c>
      <c r="G26" s="2" t="inlineStr">
        <is>
          <t>Stock on hand when this sheet was started</t>
        </is>
      </c>
    </row>
    <row r="27">
      <c r="A27" s="7" t="inlineStr">
        <is>
          <t>2026-07-09</t>
        </is>
      </c>
      <c r="B27" s="2" t="inlineStr">
        <is>
          <t>NE1386-S34</t>
        </is>
      </c>
      <c r="C27" s="2" t="inlineStr">
        <is>
          <t>Opening stock</t>
        </is>
      </c>
      <c r="D27" s="2" t="n">
        <v>1</v>
      </c>
      <c r="E27" s="2">
        <f>IF($B27="","",SUMIFS($D$2:$D27,$B$2:$B27,$B27))</f>
        <v/>
      </c>
      <c r="F27" s="2" t="inlineStr">
        <is>
          <t>IMPORT-0709</t>
        </is>
      </c>
      <c r="G27" s="2" t="inlineStr">
        <is>
          <t>Stock on hand when this sheet was started</t>
        </is>
      </c>
    </row>
    <row r="28">
      <c r="A28" s="7" t="inlineStr">
        <is>
          <t>2026-07-09</t>
        </is>
      </c>
      <c r="B28" s="2" t="inlineStr">
        <is>
          <t>NE1386-S35</t>
        </is>
      </c>
      <c r="C28" s="2" t="inlineStr">
        <is>
          <t>Opening stock</t>
        </is>
      </c>
      <c r="D28" s="2" t="n">
        <v>1</v>
      </c>
      <c r="E28" s="2">
        <f>IF($B28="","",SUMIFS($D$2:$D28,$B$2:$B28,$B28))</f>
        <v/>
      </c>
      <c r="F28" s="2" t="inlineStr">
        <is>
          <t>IMPORT-0709</t>
        </is>
      </c>
      <c r="G28" s="2" t="inlineStr">
        <is>
          <t>Stock on hand when this sheet was started</t>
        </is>
      </c>
    </row>
    <row r="29">
      <c r="A29" s="7" t="inlineStr">
        <is>
          <t>2026-07-09</t>
        </is>
      </c>
      <c r="B29" s="2" t="inlineStr">
        <is>
          <t>NO-CODE-S23</t>
        </is>
      </c>
      <c r="C29" s="2" t="inlineStr">
        <is>
          <t>Opening stock</t>
        </is>
      </c>
      <c r="D29" s="2" t="n">
        <v>1</v>
      </c>
      <c r="E29" s="2">
        <f>IF($B29="","",SUMIFS($D$2:$D29,$B$2:$B29,$B29))</f>
        <v/>
      </c>
      <c r="F29" s="2" t="inlineStr">
        <is>
          <t>IMPORT-0709</t>
        </is>
      </c>
      <c r="G29" s="2" t="inlineStr">
        <is>
          <t>Stock on hand when this sheet was started</t>
        </is>
      </c>
    </row>
    <row r="30">
      <c r="A30" s="7" t="inlineStr">
        <is>
          <t>2026-07-09</t>
        </is>
      </c>
      <c r="B30" s="2" t="inlineStr">
        <is>
          <t>RI280</t>
        </is>
      </c>
      <c r="C30" s="2" t="inlineStr">
        <is>
          <t>Opening stock</t>
        </is>
      </c>
      <c r="D30" s="2" t="n">
        <v>2</v>
      </c>
      <c r="E30" s="2">
        <f>IF($B30="","",SUMIFS($D$2:$D30,$B$2:$B30,$B30))</f>
        <v/>
      </c>
      <c r="F30" s="2" t="inlineStr">
        <is>
          <t>IMPORT-0709</t>
        </is>
      </c>
      <c r="G30" s="2" t="inlineStr">
        <is>
          <t>Stock on hand when this sheet was started</t>
        </is>
      </c>
    </row>
    <row r="31">
      <c r="A31" s="7" t="inlineStr">
        <is>
          <t>2026-07-09</t>
        </is>
      </c>
      <c r="B31" s="2" t="inlineStr">
        <is>
          <t>RI4680</t>
        </is>
      </c>
      <c r="C31" s="2" t="inlineStr">
        <is>
          <t>Opening stock</t>
        </is>
      </c>
      <c r="D31" s="2" t="n">
        <v>1</v>
      </c>
      <c r="E31" s="2">
        <f>IF($B31="","",SUMIFS($D$2:$D31,$B$2:$B31,$B31))</f>
        <v/>
      </c>
      <c r="F31" s="2" t="inlineStr">
        <is>
          <t>IMPORT-0709</t>
        </is>
      </c>
      <c r="G31" s="2" t="inlineStr">
        <is>
          <t>Stock on hand when this sheet was started</t>
        </is>
      </c>
    </row>
    <row r="32">
      <c r="A32" s="7" t="inlineStr">
        <is>
          <t>2026-07-09</t>
        </is>
      </c>
      <c r="B32" s="2" t="inlineStr">
        <is>
          <t>RI5687</t>
        </is>
      </c>
      <c r="C32" s="2" t="inlineStr">
        <is>
          <t>Opening stock</t>
        </is>
      </c>
      <c r="D32" s="2" t="n">
        <v>1</v>
      </c>
      <c r="E32" s="2">
        <f>IF($B32="","",SUMIFS($D$2:$D32,$B$2:$B32,$B32))</f>
        <v/>
      </c>
      <c r="F32" s="2" t="inlineStr">
        <is>
          <t>IMPORT-0709</t>
        </is>
      </c>
      <c r="G32" s="2" t="inlineStr">
        <is>
          <t>Stock on hand when this sheet was started</t>
        </is>
      </c>
    </row>
    <row r="33">
      <c r="A33" s="7" t="inlineStr">
        <is>
          <t>2026-07-09</t>
        </is>
      </c>
      <c r="B33" s="2" t="inlineStr">
        <is>
          <t>RI5839</t>
        </is>
      </c>
      <c r="C33" s="2" t="inlineStr">
        <is>
          <t>Opening stock</t>
        </is>
      </c>
      <c r="D33" s="2" t="n">
        <v>1</v>
      </c>
      <c r="E33" s="2">
        <f>IF($B33="","",SUMIFS($D$2:$D33,$B$2:$B33,$B33))</f>
        <v/>
      </c>
      <c r="F33" s="2" t="inlineStr">
        <is>
          <t>IMPORT-0709</t>
        </is>
      </c>
      <c r="G33" s="2" t="inlineStr">
        <is>
          <t>Stock on hand when this sheet was started</t>
        </is>
      </c>
    </row>
    <row r="34">
      <c r="A34" s="7" t="inlineStr">
        <is>
          <t>2026-07-09</t>
        </is>
      </c>
      <c r="B34" s="2" t="inlineStr">
        <is>
          <t>ST3382</t>
        </is>
      </c>
      <c r="C34" s="2" t="inlineStr">
        <is>
          <t>Opening stock</t>
        </is>
      </c>
      <c r="D34" s="2" t="n">
        <v>1</v>
      </c>
      <c r="E34" s="2">
        <f>IF($B34="","",SUMIFS($D$2:$D34,$B$2:$B34,$B34))</f>
        <v/>
      </c>
      <c r="F34" s="2" t="inlineStr">
        <is>
          <t>IMPORT-0709</t>
        </is>
      </c>
      <c r="G34" s="2" t="inlineStr">
        <is>
          <t>Stock on hand when this sheet was started</t>
        </is>
      </c>
    </row>
    <row r="35">
      <c r="A35" s="7" t="inlineStr">
        <is>
          <t>2026-07-09</t>
        </is>
      </c>
      <c r="B35" s="2" t="inlineStr">
        <is>
          <t>ST987</t>
        </is>
      </c>
      <c r="C35" s="2" t="inlineStr">
        <is>
          <t>Opening stock</t>
        </is>
      </c>
      <c r="D35" s="2" t="n">
        <v>1</v>
      </c>
      <c r="E35" s="2">
        <f>IF($B35="","",SUMIFS($D$2:$D35,$B$2:$B35,$B35))</f>
        <v/>
      </c>
      <c r="F35" s="2" t="inlineStr">
        <is>
          <t>IMPORT-0709</t>
        </is>
      </c>
      <c r="G35" s="2" t="inlineStr">
        <is>
          <t>Stock on hand when this sheet was started</t>
        </is>
      </c>
    </row>
    <row r="36">
      <c r="A36" s="7" t="inlineStr">
        <is>
          <t>2026-07-31</t>
        </is>
      </c>
      <c r="B36" s="2" t="inlineStr">
        <is>
          <t>lc-ih-ivory</t>
        </is>
      </c>
      <c r="C36" s="2" t="inlineStr">
        <is>
          <t>Received (new stock)</t>
        </is>
      </c>
      <c r="D36" s="2" t="n">
        <v>5</v>
      </c>
      <c r="E36" s="2">
        <f>IF($B36="","",SUMIFS($D$2:$D36,$B$2:$B36,$B36))</f>
        <v/>
      </c>
      <c r="F36" s="2" t="inlineStr">
        <is>
          <t>PO-DROP-01</t>
        </is>
      </c>
      <c r="G36" s="2" t="inlineStr">
        <is>
          <t>Bridal drop intake</t>
        </is>
      </c>
    </row>
    <row r="37">
      <c r="A37" s="7" t="inlineStr">
        <is>
          <t>2026-07-31</t>
        </is>
      </c>
      <c r="B37" s="2" t="inlineStr">
        <is>
          <t>lc-ps-antique-gold</t>
        </is>
      </c>
      <c r="C37" s="2" t="inlineStr">
        <is>
          <t>Received (new stock)</t>
        </is>
      </c>
      <c r="D37" s="2" t="n">
        <v>5</v>
      </c>
      <c r="E37" s="2">
        <f>IF($B37="","",SUMIFS($D$2:$D37,$B$2:$B37,$B37))</f>
        <v/>
      </c>
      <c r="F37" s="2" t="inlineStr">
        <is>
          <t>PO-DROP-01</t>
        </is>
      </c>
      <c r="G37" s="2" t="inlineStr">
        <is>
          <t>Bridal drop intake</t>
        </is>
      </c>
    </row>
    <row r="38">
      <c r="A38" s="7" t="inlineStr">
        <is>
          <t>2026-07-31</t>
        </is>
      </c>
      <c r="B38" s="2" t="inlineStr">
        <is>
          <t>lc-tw-blush</t>
        </is>
      </c>
      <c r="C38" s="2" t="inlineStr">
        <is>
          <t>Received (new stock)</t>
        </is>
      </c>
      <c r="D38" s="2" t="n">
        <v>5</v>
      </c>
      <c r="E38" s="2">
        <f>IF($B38="","",SUMIFS($D$2:$D38,$B$2:$B38,$B38))</f>
        <v/>
      </c>
      <c r="F38" s="2" t="inlineStr">
        <is>
          <t>PO-DROP-01</t>
        </is>
      </c>
      <c r="G38" s="2" t="inlineStr">
        <is>
          <t>Bridal drop intake</t>
        </is>
      </c>
    </row>
    <row r="39">
      <c r="A39" s="7" t="inlineStr">
        <is>
          <t>2026-07-31</t>
        </is>
      </c>
      <c r="B39" s="2" t="inlineStr">
        <is>
          <t>lc-tw-crimson</t>
        </is>
      </c>
      <c r="C39" s="2" t="inlineStr">
        <is>
          <t>Received (new stock)</t>
        </is>
      </c>
      <c r="D39" s="2" t="n">
        <v>5</v>
      </c>
      <c r="E39" s="2">
        <f>IF($B39="","",SUMIFS($D$2:$D39,$B$2:$B39,$B39))</f>
        <v/>
      </c>
      <c r="F39" s="2" t="inlineStr">
        <is>
          <t>PO-DROP-01</t>
        </is>
      </c>
      <c r="G39" s="2" t="inlineStr">
        <is>
          <t>Bridal drop intake</t>
        </is>
      </c>
    </row>
    <row r="40">
      <c r="A40" s="7" t="inlineStr">
        <is>
          <t>2026-07-31</t>
        </is>
      </c>
      <c r="B40" s="2" t="inlineStr">
        <is>
          <t>lc-tw-ivory</t>
        </is>
      </c>
      <c r="C40" s="2" t="inlineStr">
        <is>
          <t>Received (new stock)</t>
        </is>
      </c>
      <c r="D40" s="2" t="n">
        <v>5</v>
      </c>
      <c r="E40" s="2">
        <f>IF($B40="","",SUMIFS($D$2:$D40,$B$2:$B40,$B40))</f>
        <v/>
      </c>
      <c r="F40" s="2" t="inlineStr">
        <is>
          <t>PO-DROP-01</t>
        </is>
      </c>
      <c r="G40" s="2" t="inlineStr">
        <is>
          <t>Bridal drop intake</t>
        </is>
      </c>
    </row>
    <row r="41">
      <c r="A41" s="7" t="inlineStr">
        <is>
          <t>2026-07-31</t>
        </is>
      </c>
      <c r="B41" s="2" t="inlineStr">
        <is>
          <t>lc-tw-navy</t>
        </is>
      </c>
      <c r="C41" s="2" t="inlineStr">
        <is>
          <t>Received (new stock)</t>
        </is>
      </c>
      <c r="D41" s="2" t="n">
        <v>5</v>
      </c>
      <c r="E41" s="2">
        <f>IF($B41="","",SUMIFS($D$2:$D41,$B$2:$B41,$B41))</f>
        <v/>
      </c>
      <c r="F41" s="2" t="inlineStr">
        <is>
          <t>PO-DROP-01</t>
        </is>
      </c>
      <c r="G41" s="2" t="inlineStr">
        <is>
          <t>Bridal drop intake</t>
        </is>
      </c>
    </row>
    <row r="42">
      <c r="A42" s="7" t="inlineStr">
        <is>
          <t>2026-07-31</t>
        </is>
      </c>
      <c r="B42" s="2" t="inlineStr">
        <is>
          <t>lc-tw-taupe</t>
        </is>
      </c>
      <c r="C42" s="2" t="inlineStr">
        <is>
          <t>Received (new stock)</t>
        </is>
      </c>
      <c r="D42" s="2" t="n">
        <v>5</v>
      </c>
      <c r="E42" s="2">
        <f>IF($B42="","",SUMIFS($D$2:$D42,$B$2:$B42,$B42))</f>
        <v/>
      </c>
      <c r="F42" s="2" t="inlineStr">
        <is>
          <t>PO-DROP-01</t>
        </is>
      </c>
      <c r="G42" s="2" t="inlineStr">
        <is>
          <t>Bridal drop intake</t>
        </is>
      </c>
    </row>
    <row r="43">
      <c r="A43" s="7" t="inlineStr">
        <is>
          <t>2026-07-31</t>
        </is>
      </c>
      <c r="B43" s="2" t="inlineStr">
        <is>
          <t>lc-zf-champagne</t>
        </is>
      </c>
      <c r="C43" s="2" t="inlineStr">
        <is>
          <t>Received (new stock)</t>
        </is>
      </c>
      <c r="D43" s="2" t="n">
        <v>5</v>
      </c>
      <c r="E43" s="2">
        <f>IF($B43="","",SUMIFS($D$2:$D43,$B$2:$B43,$B43))</f>
        <v/>
      </c>
      <c r="F43" s="2" t="inlineStr">
        <is>
          <t>PO-DROP-01</t>
        </is>
      </c>
      <c r="G43" s="2" t="inlineStr">
        <is>
          <t>Bridal drop intake</t>
        </is>
      </c>
    </row>
    <row r="44">
      <c r="A44" s="7" t="inlineStr">
        <is>
          <t>2026-07-31</t>
        </is>
      </c>
      <c r="B44" s="2" t="inlineStr">
        <is>
          <t>lc-zf-mauve</t>
        </is>
      </c>
      <c r="C44" s="2" t="inlineStr">
        <is>
          <t>Received (new stock)</t>
        </is>
      </c>
      <c r="D44" s="2" t="n">
        <v>5</v>
      </c>
      <c r="E44" s="2">
        <f>IF($B44="","",SUMIFS($D$2:$D44,$B$2:$B44,$B44))</f>
        <v/>
      </c>
      <c r="F44" s="2" t="inlineStr">
        <is>
          <t>PO-DROP-01</t>
        </is>
      </c>
      <c r="G44" s="2" t="inlineStr">
        <is>
          <t>Bridal drop intake</t>
        </is>
      </c>
    </row>
    <row r="45">
      <c r="A45" s="7" t="inlineStr">
        <is>
          <t>2026-07-31</t>
        </is>
      </c>
      <c r="B45" s="2" t="inlineStr">
        <is>
          <t>lc-zf-olive</t>
        </is>
      </c>
      <c r="C45" s="2" t="inlineStr">
        <is>
          <t>Received (new stock)</t>
        </is>
      </c>
      <c r="D45" s="2" t="n">
        <v>5</v>
      </c>
      <c r="E45" s="2">
        <f>IF($B45="","",SUMIFS($D$2:$D45,$B$2:$B45,$B45))</f>
        <v/>
      </c>
      <c r="F45" s="2" t="inlineStr">
        <is>
          <t>PO-DROP-01</t>
        </is>
      </c>
      <c r="G45" s="2" t="inlineStr">
        <is>
          <t>Bridal drop intake</t>
        </is>
      </c>
    </row>
    <row r="46">
      <c r="A46" s="7" t="inlineStr">
        <is>
          <t>2026-07-31</t>
        </is>
      </c>
      <c r="B46" s="2" t="inlineStr">
        <is>
          <t>lc-zf-powder-blue</t>
        </is>
      </c>
      <c r="C46" s="2" t="inlineStr">
        <is>
          <t>Received (new stock)</t>
        </is>
      </c>
      <c r="D46" s="2" t="n">
        <v>5</v>
      </c>
      <c r="E46" s="2">
        <f>IF($B46="","",SUMIFS($D$2:$D46,$B$2:$B46,$B46))</f>
        <v/>
      </c>
      <c r="F46" s="2" t="inlineStr">
        <is>
          <t>PO-DROP-01</t>
        </is>
      </c>
      <c r="G46" s="2" t="inlineStr">
        <is>
          <t>Bridal drop intake</t>
        </is>
      </c>
    </row>
    <row r="47">
      <c r="A47" s="7" t="inlineStr">
        <is>
          <t>2026-07-31</t>
        </is>
      </c>
      <c r="B47" s="2" t="inlineStr">
        <is>
          <t>lc-zf-rose</t>
        </is>
      </c>
      <c r="C47" s="2" t="inlineStr">
        <is>
          <t>Received (new stock)</t>
        </is>
      </c>
      <c r="D47" s="2" t="n">
        <v>5</v>
      </c>
      <c r="E47" s="2">
        <f>IF($B47="","",SUMIFS($D$2:$D47,$B$2:$B47,$B47))</f>
        <v/>
      </c>
      <c r="F47" s="2" t="inlineStr">
        <is>
          <t>PO-DROP-01</t>
        </is>
      </c>
      <c r="G47" s="2" t="inlineStr">
        <is>
          <t>Bridal drop intake</t>
        </is>
      </c>
    </row>
    <row r="48">
      <c r="A48" s="7" t="inlineStr">
        <is>
          <t>2026-07-31</t>
        </is>
      </c>
      <c r="B48" s="2" t="inlineStr">
        <is>
          <t>lc-zf-rust</t>
        </is>
      </c>
      <c r="C48" s="2" t="inlineStr">
        <is>
          <t>Received (new stock)</t>
        </is>
      </c>
      <c r="D48" s="2" t="n">
        <v>5</v>
      </c>
      <c r="E48" s="2">
        <f>IF($B48="","",SUMIFS($D$2:$D48,$B$2:$B48,$B48))</f>
        <v/>
      </c>
      <c r="F48" s="2" t="inlineStr">
        <is>
          <t>PO-DROP-01</t>
        </is>
      </c>
      <c r="G48" s="2" t="inlineStr">
        <is>
          <t>Bridal drop intake</t>
        </is>
      </c>
    </row>
    <row r="49">
      <c r="A49" s="7" t="inlineStr">
        <is>
          <t>2026-07-31</t>
        </is>
      </c>
      <c r="B49" s="2" t="inlineStr">
        <is>
          <t>lc-zf-sage</t>
        </is>
      </c>
      <c r="C49" s="2" t="inlineStr">
        <is>
          <t>Received (new stock)</t>
        </is>
      </c>
      <c r="D49" s="2" t="n">
        <v>5</v>
      </c>
      <c r="E49" s="2">
        <f>IF($B49="","",SUMIFS($D$2:$D49,$B$2:$B49,$B49))</f>
        <v/>
      </c>
      <c r="F49" s="2" t="inlineStr">
        <is>
          <t>PO-DROP-01</t>
        </is>
      </c>
      <c r="G49" s="2" t="inlineStr">
        <is>
          <t>Bridal drop intake</t>
        </is>
      </c>
    </row>
    <row r="50">
      <c r="A50" s="7" t="inlineStr">
        <is>
          <t>2026-07-31</t>
        </is>
      </c>
      <c r="B50" s="2" t="inlineStr">
        <is>
          <t>sr-pd-crimson</t>
        </is>
      </c>
      <c r="C50" s="2" t="inlineStr">
        <is>
          <t>Received (new stock)</t>
        </is>
      </c>
      <c r="D50" s="2" t="n">
        <v>5</v>
      </c>
      <c r="E50" s="2">
        <f>IF($B50="","",SUMIFS($D$2:$D50,$B$2:$B50,$B50))</f>
        <v/>
      </c>
      <c r="F50" s="2" t="inlineStr">
        <is>
          <t>PO-DROP-01</t>
        </is>
      </c>
      <c r="G50" s="2" t="inlineStr">
        <is>
          <t>Bridal drop intake</t>
        </is>
      </c>
    </row>
    <row r="51">
      <c r="A51" s="7" t="inlineStr">
        <is>
          <t>2026-07-31</t>
        </is>
      </c>
      <c r="B51" s="2" t="inlineStr">
        <is>
          <t>sr-pd-lilac</t>
        </is>
      </c>
      <c r="C51" s="2" t="inlineStr">
        <is>
          <t>Received (new stock)</t>
        </is>
      </c>
      <c r="D51" s="2" t="n">
        <v>5</v>
      </c>
      <c r="E51" s="2">
        <f>IF($B51="","",SUMIFS($D$2:$D51,$B$2:$B51,$B51))</f>
        <v/>
      </c>
      <c r="F51" s="2" t="inlineStr">
        <is>
          <t>PO-DROP-01</t>
        </is>
      </c>
      <c r="G51" s="2" t="inlineStr">
        <is>
          <t>Bridal drop intake</t>
        </is>
      </c>
    </row>
    <row r="52">
      <c r="A52" s="7" t="inlineStr">
        <is>
          <t>2026-08-02</t>
        </is>
      </c>
      <c r="B52" s="2" t="inlineStr">
        <is>
          <t>6343</t>
        </is>
      </c>
      <c r="C52" s="2" t="inlineStr">
        <is>
          <t>Sold - Online</t>
        </is>
      </c>
      <c r="D52" s="2" t="n">
        <v>-1</v>
      </c>
      <c r="E52" s="2">
        <f>IF($B52="","",SUMIFS($D$2:$D52,$B$2:$B52,$B52))</f>
        <v/>
      </c>
      <c r="F52" s="2" t="inlineStr">
        <is>
          <t>ORD-8H2K</t>
        </is>
      </c>
      <c r="G52" s="2" t="inlineStr">
        <is>
          <t>COD order</t>
        </is>
      </c>
    </row>
    <row r="53">
      <c r="A53" s="7" t="inlineStr">
        <is>
          <t>2026-08-02</t>
        </is>
      </c>
      <c r="B53" s="2" t="inlineStr">
        <is>
          <t>RI280</t>
        </is>
      </c>
      <c r="C53" s="2" t="inlineStr">
        <is>
          <t>Damaged / Write-off</t>
        </is>
      </c>
      <c r="D53" s="2" t="n">
        <v>-1</v>
      </c>
      <c r="E53" s="2">
        <f>IF($B53="","",SUMIFS($D$2:$D53,$B$2:$B53,$B53))</f>
        <v/>
      </c>
      <c r="F53" s="2" t="inlineStr">
        <is>
          <t>ADJ-001</t>
        </is>
      </c>
      <c r="G53" s="2" t="inlineStr">
        <is>
          <t>1 reel water-damaged</t>
        </is>
      </c>
    </row>
    <row r="54">
      <c r="A54" s="7" t="inlineStr">
        <is>
          <t>2026-08-04</t>
        </is>
      </c>
      <c r="B54" s="2" t="inlineStr">
        <is>
          <t>6988</t>
        </is>
      </c>
      <c r="C54" s="2" t="inlineStr">
        <is>
          <t>Sold - Online</t>
        </is>
      </c>
      <c r="D54" s="2" t="n">
        <v>-1</v>
      </c>
      <c r="E54" s="2">
        <f>IF($B54="","",SUMIFS($D$2:$D54,$B$2:$B54,$B54))</f>
        <v/>
      </c>
      <c r="F54" s="2" t="inlineStr">
        <is>
          <t>ORD-8J7Q</t>
        </is>
      </c>
      <c r="G54" s="2" t="inlineStr">
        <is>
          <t>COD order</t>
        </is>
      </c>
    </row>
    <row r="55">
      <c r="A55" s="7" t="inlineStr">
        <is>
          <t>2026-08-05</t>
        </is>
      </c>
      <c r="B55" s="2" t="inlineStr">
        <is>
          <t>lc-zf-rose</t>
        </is>
      </c>
      <c r="C55" s="2" t="inlineStr">
        <is>
          <t>Sold - Online</t>
        </is>
      </c>
      <c r="D55" s="2" t="n">
        <v>-1</v>
      </c>
      <c r="E55" s="2">
        <f>IF($B55="","",SUMIFS($D$2:$D55,$B$2:$B55,$B55))</f>
        <v/>
      </c>
      <c r="F55" s="2" t="inlineStr">
        <is>
          <t>ORD-8L4R</t>
        </is>
      </c>
      <c r="G55" s="2" t="inlineStr">
        <is>
          <t>Prepaid order</t>
        </is>
      </c>
    </row>
    <row r="56">
      <c r="A56" s="7" t="inlineStr">
        <is>
          <t>2026-08-07</t>
        </is>
      </c>
      <c r="B56" s="2" t="inlineStr">
        <is>
          <t>HA4536</t>
        </is>
      </c>
      <c r="C56" s="2" t="inlineStr">
        <is>
          <t>Sold - Online</t>
        </is>
      </c>
      <c r="D56" s="2" t="n">
        <v>-1</v>
      </c>
      <c r="E56" s="2">
        <f>IF($B56="","",SUMIFS($D$2:$D56,$B$2:$B56,$B56))</f>
        <v/>
      </c>
      <c r="F56" s="2" t="inlineStr">
        <is>
          <t>ORD-8N1D</t>
        </is>
      </c>
      <c r="G56" s="2" t="inlineStr">
        <is>
          <t>COD order</t>
        </is>
      </c>
    </row>
    <row r="57">
      <c r="A57" s="7" t="inlineStr">
        <is>
          <t>2026-08-09</t>
        </is>
      </c>
      <c r="B57" s="2" t="inlineStr">
        <is>
          <t>HA6320</t>
        </is>
      </c>
      <c r="C57" s="2" t="inlineStr">
        <is>
          <t>Sold - Online</t>
        </is>
      </c>
      <c r="D57" s="2" t="n">
        <v>-1</v>
      </c>
      <c r="E57" s="2">
        <f>IF($B57="","",SUMIFS($D$2:$D57,$B$2:$B57,$B57))</f>
        <v/>
      </c>
      <c r="F57" s="2" t="inlineStr">
        <is>
          <t>ORD-8Q5S</t>
        </is>
      </c>
      <c r="G57" s="2" t="inlineStr">
        <is>
          <t>COD order</t>
        </is>
      </c>
    </row>
    <row r="58">
      <c r="A58" s="7" t="inlineStr">
        <is>
          <t>2026-08-11</t>
        </is>
      </c>
      <c r="B58" s="2" t="inlineStr">
        <is>
          <t>HA3858</t>
        </is>
      </c>
      <c r="C58" s="2" t="inlineStr">
        <is>
          <t>Sold - Online</t>
        </is>
      </c>
      <c r="D58" s="2" t="n">
        <v>-1</v>
      </c>
      <c r="E58" s="2">
        <f>IF($B58="","",SUMIFS($D$2:$D58,$B$2:$B58,$B58))</f>
        <v/>
      </c>
      <c r="F58" s="2" t="inlineStr">
        <is>
          <t>ORD-8T3M</t>
        </is>
      </c>
      <c r="G58" s="2" t="inlineStr">
        <is>
          <t>COD order</t>
        </is>
      </c>
    </row>
    <row r="59">
      <c r="A59" s="7" t="inlineStr">
        <is>
          <t>2026-08-12</t>
        </is>
      </c>
      <c r="B59" s="2" t="inlineStr">
        <is>
          <t>lc-zf-rose</t>
        </is>
      </c>
      <c r="C59" s="2" t="inlineStr">
        <is>
          <t>Returned (back to stock)</t>
        </is>
      </c>
      <c r="D59" s="2" t="n">
        <v>1</v>
      </c>
      <c r="E59" s="2">
        <f>IF($B59="","",SUMIFS($D$2:$D59,$B$2:$B59,$B59))</f>
        <v/>
      </c>
      <c r="F59" s="2" t="inlineStr">
        <is>
          <t>RET-8L4R</t>
        </is>
      </c>
      <c r="G59" s="2" t="inlineStr">
        <is>
          <t>Size exchange requested; restocked after inspection</t>
        </is>
      </c>
    </row>
    <row r="60">
      <c r="A60" s="7" t="inlineStr">
        <is>
          <t>2026-08-13</t>
        </is>
      </c>
      <c r="B60" s="2" t="inlineStr">
        <is>
          <t>MI263</t>
        </is>
      </c>
      <c r="C60" s="2" t="inlineStr">
        <is>
          <t>Sold - Online</t>
        </is>
      </c>
      <c r="D60" s="2" t="n">
        <v>-1</v>
      </c>
      <c r="E60" s="2">
        <f>IF($B60="","",SUMIFS($D$2:$D60,$B$2:$B60,$B60))</f>
        <v/>
      </c>
      <c r="F60" s="2" t="inlineStr">
        <is>
          <t>ORD-8V9A</t>
        </is>
      </c>
      <c r="G60" s="2" t="inlineStr">
        <is>
          <t>COD order</t>
        </is>
      </c>
    </row>
    <row r="61">
      <c r="E61" s="11">
        <f>IF($B61="","",SUMIFS($D$2:$D61,$B$2:$B61,$B61))</f>
        <v/>
      </c>
    </row>
    <row r="62">
      <c r="E62" s="11">
        <f>IF($B62="","",SUMIFS($D$2:$D62,$B$2:$B62,$B62))</f>
        <v/>
      </c>
    </row>
    <row r="63">
      <c r="E63" s="11">
        <f>IF($B63="","",SUMIFS($D$2:$D63,$B$2:$B63,$B63))</f>
        <v/>
      </c>
    </row>
    <row r="64">
      <c r="E64" s="11">
        <f>IF($B64="","",SUMIFS($D$2:$D64,$B$2:$B64,$B64))</f>
        <v/>
      </c>
    </row>
    <row r="65">
      <c r="E65" s="11">
        <f>IF($B65="","",SUMIFS($D$2:$D65,$B$2:$B65,$B65))</f>
        <v/>
      </c>
    </row>
    <row r="66">
      <c r="E66" s="11">
        <f>IF($B66="","",SUMIFS($D$2:$D66,$B$2:$B66,$B66))</f>
        <v/>
      </c>
    </row>
    <row r="67">
      <c r="E67" s="11">
        <f>IF($B67="","",SUMIFS($D$2:$D67,$B$2:$B67,$B67))</f>
        <v/>
      </c>
    </row>
    <row r="68">
      <c r="E68" s="11">
        <f>IF($B68="","",SUMIFS($D$2:$D68,$B$2:$B68,$B68))</f>
        <v/>
      </c>
    </row>
    <row r="69">
      <c r="E69" s="11">
        <f>IF($B69="","",SUMIFS($D$2:$D69,$B$2:$B69,$B69))</f>
        <v/>
      </c>
    </row>
    <row r="70">
      <c r="E70" s="11">
        <f>IF($B70="","",SUMIFS($D$2:$D70,$B$2:$B70,$B70))</f>
        <v/>
      </c>
    </row>
    <row r="71">
      <c r="E71" s="11">
        <f>IF($B71="","",SUMIFS($D$2:$D71,$B$2:$B71,$B71))</f>
        <v/>
      </c>
    </row>
    <row r="72">
      <c r="E72" s="11">
        <f>IF($B72="","",SUMIFS($D$2:$D72,$B$2:$B72,$B72))</f>
        <v/>
      </c>
    </row>
    <row r="73">
      <c r="E73" s="11">
        <f>IF($B73="","",SUMIFS($D$2:$D73,$B$2:$B73,$B73))</f>
        <v/>
      </c>
    </row>
    <row r="74">
      <c r="E74" s="11">
        <f>IF($B74="","",SUMIFS($D$2:$D74,$B$2:$B74,$B74))</f>
        <v/>
      </c>
    </row>
    <row r="75">
      <c r="E75" s="11">
        <f>IF($B75="","",SUMIFS($D$2:$D75,$B$2:$B75,$B75))</f>
        <v/>
      </c>
    </row>
    <row r="76">
      <c r="E76" s="11">
        <f>IF($B76="","",SUMIFS($D$2:$D76,$B$2:$B76,$B76))</f>
        <v/>
      </c>
    </row>
    <row r="77">
      <c r="E77" s="11">
        <f>IF($B77="","",SUMIFS($D$2:$D77,$B$2:$B77,$B77))</f>
        <v/>
      </c>
    </row>
    <row r="78">
      <c r="E78" s="11">
        <f>IF($B78="","",SUMIFS($D$2:$D78,$B$2:$B78,$B78))</f>
        <v/>
      </c>
    </row>
    <row r="79">
      <c r="E79" s="11">
        <f>IF($B79="","",SUMIFS($D$2:$D79,$B$2:$B79,$B79))</f>
        <v/>
      </c>
    </row>
    <row r="80">
      <c r="E80" s="11">
        <f>IF($B80="","",SUMIFS($D$2:$D80,$B$2:$B80,$B80))</f>
        <v/>
      </c>
    </row>
    <row r="81">
      <c r="E81" s="11">
        <f>IF($B81="","",SUMIFS($D$2:$D81,$B$2:$B81,$B81))</f>
        <v/>
      </c>
    </row>
    <row r="82">
      <c r="E82" s="11">
        <f>IF($B82="","",SUMIFS($D$2:$D82,$B$2:$B82,$B82))</f>
        <v/>
      </c>
    </row>
    <row r="83">
      <c r="E83" s="11">
        <f>IF($B83="","",SUMIFS($D$2:$D83,$B$2:$B83,$B83))</f>
        <v/>
      </c>
    </row>
    <row r="84">
      <c r="E84" s="11">
        <f>IF($B84="","",SUMIFS($D$2:$D84,$B$2:$B84,$B84))</f>
        <v/>
      </c>
    </row>
    <row r="85">
      <c r="E85" s="11">
        <f>IF($B85="","",SUMIFS($D$2:$D85,$B$2:$B85,$B85))</f>
        <v/>
      </c>
    </row>
    <row r="86">
      <c r="E86" s="11">
        <f>IF($B86="","",SUMIFS($D$2:$D86,$B$2:$B86,$B86))</f>
        <v/>
      </c>
    </row>
    <row r="87">
      <c r="E87" s="11">
        <f>IF($B87="","",SUMIFS($D$2:$D87,$B$2:$B87,$B87))</f>
        <v/>
      </c>
    </row>
    <row r="88">
      <c r="E88" s="11">
        <f>IF($B88="","",SUMIFS($D$2:$D88,$B$2:$B88,$B88))</f>
        <v/>
      </c>
    </row>
    <row r="89">
      <c r="E89" s="11">
        <f>IF($B89="","",SUMIFS($D$2:$D89,$B$2:$B89,$B89))</f>
        <v/>
      </c>
    </row>
    <row r="90">
      <c r="E90" s="11">
        <f>IF($B90="","",SUMIFS($D$2:$D90,$B$2:$B90,$B90))</f>
        <v/>
      </c>
    </row>
    <row r="91">
      <c r="E91" s="11">
        <f>IF($B91="","",SUMIFS($D$2:$D91,$B$2:$B91,$B91))</f>
        <v/>
      </c>
    </row>
    <row r="92">
      <c r="E92" s="11">
        <f>IF($B92="","",SUMIFS($D$2:$D92,$B$2:$B92,$B92))</f>
        <v/>
      </c>
    </row>
    <row r="93">
      <c r="E93" s="11">
        <f>IF($B93="","",SUMIFS($D$2:$D93,$B$2:$B93,$B93))</f>
        <v/>
      </c>
    </row>
    <row r="94">
      <c r="E94" s="11">
        <f>IF($B94="","",SUMIFS($D$2:$D94,$B$2:$B94,$B94))</f>
        <v/>
      </c>
    </row>
    <row r="95">
      <c r="E95" s="11">
        <f>IF($B95="","",SUMIFS($D$2:$D95,$B$2:$B95,$B95))</f>
        <v/>
      </c>
    </row>
    <row r="96">
      <c r="E96" s="11">
        <f>IF($B96="","",SUMIFS($D$2:$D96,$B$2:$B96,$B96))</f>
        <v/>
      </c>
    </row>
    <row r="97">
      <c r="E97" s="11">
        <f>IF($B97="","",SUMIFS($D$2:$D97,$B$2:$B97,$B97))</f>
        <v/>
      </c>
    </row>
    <row r="98">
      <c r="E98" s="11">
        <f>IF($B98="","",SUMIFS($D$2:$D98,$B$2:$B98,$B98))</f>
        <v/>
      </c>
    </row>
    <row r="99">
      <c r="E99" s="11">
        <f>IF($B99="","",SUMIFS($D$2:$D99,$B$2:$B99,$B99))</f>
        <v/>
      </c>
    </row>
    <row r="100">
      <c r="E100" s="11">
        <f>IF($B100="","",SUMIFS($D$2:$D100,$B$2:$B100,$B100))</f>
        <v/>
      </c>
    </row>
    <row r="101">
      <c r="E101" s="11">
        <f>IF($B101="","",SUMIFS($D$2:$D101,$B$2:$B101,$B101))</f>
        <v/>
      </c>
    </row>
    <row r="102">
      <c r="E102" s="11">
        <f>IF($B102="","",SUMIFS($D$2:$D102,$B$2:$B102,$B102))</f>
        <v/>
      </c>
    </row>
    <row r="103">
      <c r="E103" s="11">
        <f>IF($B103="","",SUMIFS($D$2:$D103,$B$2:$B103,$B103))</f>
        <v/>
      </c>
    </row>
    <row r="104">
      <c r="E104" s="11">
        <f>IF($B104="","",SUMIFS($D$2:$D104,$B$2:$B104,$B104))</f>
        <v/>
      </c>
    </row>
    <row r="105">
      <c r="E105" s="11">
        <f>IF($B105="","",SUMIFS($D$2:$D105,$B$2:$B105,$B105))</f>
        <v/>
      </c>
    </row>
    <row r="106">
      <c r="E106" s="11">
        <f>IF($B106="","",SUMIFS($D$2:$D106,$B$2:$B106,$B106))</f>
        <v/>
      </c>
    </row>
    <row r="107">
      <c r="E107" s="11">
        <f>IF($B107="","",SUMIFS($D$2:$D107,$B$2:$B107,$B107))</f>
        <v/>
      </c>
    </row>
    <row r="108">
      <c r="E108" s="11">
        <f>IF($B108="","",SUMIFS($D$2:$D108,$B$2:$B108,$B108))</f>
        <v/>
      </c>
    </row>
    <row r="109">
      <c r="E109" s="11">
        <f>IF($B109="","",SUMIFS($D$2:$D109,$B$2:$B109,$B109))</f>
        <v/>
      </c>
    </row>
    <row r="110">
      <c r="E110" s="11">
        <f>IF($B110="","",SUMIFS($D$2:$D110,$B$2:$B110,$B110))</f>
        <v/>
      </c>
    </row>
    <row r="111">
      <c r="E111" s="11">
        <f>IF($B111="","",SUMIFS($D$2:$D111,$B$2:$B111,$B111))</f>
        <v/>
      </c>
    </row>
    <row r="112">
      <c r="E112" s="11">
        <f>IF($B112="","",SUMIFS($D$2:$D112,$B$2:$B112,$B112))</f>
        <v/>
      </c>
    </row>
    <row r="113">
      <c r="E113" s="11">
        <f>IF($B113="","",SUMIFS($D$2:$D113,$B$2:$B113,$B113))</f>
        <v/>
      </c>
    </row>
    <row r="114">
      <c r="E114" s="11">
        <f>IF($B114="","",SUMIFS($D$2:$D114,$B$2:$B114,$B114))</f>
        <v/>
      </c>
    </row>
    <row r="115">
      <c r="E115" s="11">
        <f>IF($B115="","",SUMIFS($D$2:$D115,$B$2:$B115,$B115))</f>
        <v/>
      </c>
    </row>
    <row r="116">
      <c r="E116" s="11">
        <f>IF($B116="","",SUMIFS($D$2:$D116,$B$2:$B116,$B116))</f>
        <v/>
      </c>
    </row>
    <row r="117">
      <c r="E117" s="11">
        <f>IF($B117="","",SUMIFS($D$2:$D117,$B$2:$B117,$B117))</f>
        <v/>
      </c>
    </row>
    <row r="118">
      <c r="E118" s="11">
        <f>IF($B118="","",SUMIFS($D$2:$D118,$B$2:$B118,$B118))</f>
        <v/>
      </c>
    </row>
    <row r="119">
      <c r="E119" s="11">
        <f>IF($B119="","",SUMIFS($D$2:$D119,$B$2:$B119,$B119))</f>
        <v/>
      </c>
    </row>
    <row r="120">
      <c r="E120" s="11">
        <f>IF($B120="","",SUMIFS($D$2:$D120,$B$2:$B120,$B120))</f>
        <v/>
      </c>
    </row>
    <row r="121">
      <c r="E121" s="11">
        <f>IF($B121="","",SUMIFS($D$2:$D121,$B$2:$B121,$B121))</f>
        <v/>
      </c>
    </row>
    <row r="122">
      <c r="E122" s="11">
        <f>IF($B122="","",SUMIFS($D$2:$D122,$B$2:$B122,$B122))</f>
        <v/>
      </c>
    </row>
    <row r="123">
      <c r="E123" s="11">
        <f>IF($B123="","",SUMIFS($D$2:$D123,$B$2:$B123,$B123))</f>
        <v/>
      </c>
    </row>
    <row r="124">
      <c r="E124" s="11">
        <f>IF($B124="","",SUMIFS($D$2:$D124,$B$2:$B124,$B124))</f>
        <v/>
      </c>
    </row>
    <row r="125">
      <c r="E125" s="11">
        <f>IF($B125="","",SUMIFS($D$2:$D125,$B$2:$B125,$B125))</f>
        <v/>
      </c>
    </row>
    <row r="126">
      <c r="E126" s="11">
        <f>IF($B126="","",SUMIFS($D$2:$D126,$B$2:$B126,$B126))</f>
        <v/>
      </c>
    </row>
    <row r="127">
      <c r="E127" s="11">
        <f>IF($B127="","",SUMIFS($D$2:$D127,$B$2:$B127,$B127))</f>
        <v/>
      </c>
    </row>
    <row r="128">
      <c r="E128" s="11">
        <f>IF($B128="","",SUMIFS($D$2:$D128,$B$2:$B128,$B128))</f>
        <v/>
      </c>
    </row>
    <row r="129">
      <c r="E129" s="11">
        <f>IF($B129="","",SUMIFS($D$2:$D129,$B$2:$B129,$B129))</f>
        <v/>
      </c>
    </row>
    <row r="130">
      <c r="E130" s="11">
        <f>IF($B130="","",SUMIFS($D$2:$D130,$B$2:$B130,$B130))</f>
        <v/>
      </c>
    </row>
    <row r="131">
      <c r="E131" s="11">
        <f>IF($B131="","",SUMIFS($D$2:$D131,$B$2:$B131,$B131))</f>
        <v/>
      </c>
    </row>
    <row r="132">
      <c r="E132" s="11">
        <f>IF($B132="","",SUMIFS($D$2:$D132,$B$2:$B132,$B132))</f>
        <v/>
      </c>
    </row>
    <row r="133">
      <c r="E133" s="11">
        <f>IF($B133="","",SUMIFS($D$2:$D133,$B$2:$B133,$B133))</f>
        <v/>
      </c>
    </row>
    <row r="134">
      <c r="E134" s="11">
        <f>IF($B134="","",SUMIFS($D$2:$D134,$B$2:$B134,$B134))</f>
        <v/>
      </c>
    </row>
    <row r="135">
      <c r="E135" s="11">
        <f>IF($B135="","",SUMIFS($D$2:$D135,$B$2:$B135,$B135))</f>
        <v/>
      </c>
    </row>
    <row r="136">
      <c r="E136" s="11">
        <f>IF($B136="","",SUMIFS($D$2:$D136,$B$2:$B136,$B136))</f>
        <v/>
      </c>
    </row>
    <row r="137">
      <c r="E137" s="11">
        <f>IF($B137="","",SUMIFS($D$2:$D137,$B$2:$B137,$B137))</f>
        <v/>
      </c>
    </row>
    <row r="138">
      <c r="E138" s="11">
        <f>IF($B138="","",SUMIFS($D$2:$D138,$B$2:$B138,$B138))</f>
        <v/>
      </c>
    </row>
    <row r="139">
      <c r="E139" s="11">
        <f>IF($B139="","",SUMIFS($D$2:$D139,$B$2:$B139,$B139))</f>
        <v/>
      </c>
    </row>
    <row r="140">
      <c r="E140" s="11">
        <f>IF($B140="","",SUMIFS($D$2:$D140,$B$2:$B140,$B140))</f>
        <v/>
      </c>
    </row>
    <row r="141">
      <c r="E141" s="11">
        <f>IF($B141="","",SUMIFS($D$2:$D141,$B$2:$B141,$B141))</f>
        <v/>
      </c>
    </row>
    <row r="142">
      <c r="E142" s="11">
        <f>IF($B142="","",SUMIFS($D$2:$D142,$B$2:$B142,$B142))</f>
        <v/>
      </c>
    </row>
    <row r="143">
      <c r="E143" s="11">
        <f>IF($B143="","",SUMIFS($D$2:$D143,$B$2:$B143,$B143))</f>
        <v/>
      </c>
    </row>
    <row r="144">
      <c r="E144" s="11">
        <f>IF($B144="","",SUMIFS($D$2:$D144,$B$2:$B144,$B144))</f>
        <v/>
      </c>
    </row>
    <row r="145">
      <c r="E145" s="11">
        <f>IF($B145="","",SUMIFS($D$2:$D145,$B$2:$B145,$B145))</f>
        <v/>
      </c>
    </row>
    <row r="146">
      <c r="E146" s="11">
        <f>IF($B146="","",SUMIFS($D$2:$D146,$B$2:$B146,$B146))</f>
        <v/>
      </c>
    </row>
    <row r="147">
      <c r="E147" s="11">
        <f>IF($B147="","",SUMIFS($D$2:$D147,$B$2:$B147,$B147))</f>
        <v/>
      </c>
    </row>
    <row r="148">
      <c r="E148" s="11">
        <f>IF($B148="","",SUMIFS($D$2:$D148,$B$2:$B148,$B148))</f>
        <v/>
      </c>
    </row>
    <row r="149">
      <c r="E149" s="11">
        <f>IF($B149="","",SUMIFS($D$2:$D149,$B$2:$B149,$B149))</f>
        <v/>
      </c>
    </row>
    <row r="150">
      <c r="E150" s="11">
        <f>IF($B150="","",SUMIFS($D$2:$D150,$B$2:$B150,$B150))</f>
        <v/>
      </c>
    </row>
    <row r="151">
      <c r="E151" s="11">
        <f>IF($B151="","",SUMIFS($D$2:$D151,$B$2:$B151,$B151))</f>
        <v/>
      </c>
    </row>
    <row r="152">
      <c r="E152" s="11">
        <f>IF($B152="","",SUMIFS($D$2:$D152,$B$2:$B152,$B152))</f>
        <v/>
      </c>
    </row>
    <row r="153">
      <c r="E153" s="11">
        <f>IF($B153="","",SUMIFS($D$2:$D153,$B$2:$B153,$B153))</f>
        <v/>
      </c>
    </row>
    <row r="154">
      <c r="E154" s="11">
        <f>IF($B154="","",SUMIFS($D$2:$D154,$B$2:$B154,$B154))</f>
        <v/>
      </c>
    </row>
    <row r="155">
      <c r="E155" s="11">
        <f>IF($B155="","",SUMIFS($D$2:$D155,$B$2:$B155,$B155))</f>
        <v/>
      </c>
    </row>
    <row r="156">
      <c r="E156" s="11">
        <f>IF($B156="","",SUMIFS($D$2:$D156,$B$2:$B156,$B156))</f>
        <v/>
      </c>
    </row>
    <row r="157">
      <c r="E157" s="11">
        <f>IF($B157="","",SUMIFS($D$2:$D157,$B$2:$B157,$B157))</f>
        <v/>
      </c>
    </row>
    <row r="158">
      <c r="E158" s="11">
        <f>IF($B158="","",SUMIFS($D$2:$D158,$B$2:$B158,$B158))</f>
        <v/>
      </c>
    </row>
    <row r="159">
      <c r="E159" s="11">
        <f>IF($B159="","",SUMIFS($D$2:$D159,$B$2:$B159,$B159))</f>
        <v/>
      </c>
    </row>
    <row r="160">
      <c r="E160" s="11">
        <f>IF($B160="","",SUMIFS($D$2:$D160,$B$2:$B160,$B160))</f>
        <v/>
      </c>
    </row>
    <row r="161">
      <c r="E161" s="11">
        <f>IF($B161="","",SUMIFS($D$2:$D161,$B$2:$B161,$B161))</f>
        <v/>
      </c>
    </row>
    <row r="162">
      <c r="E162" s="11">
        <f>IF($B162="","",SUMIFS($D$2:$D162,$B$2:$B162,$B162))</f>
        <v/>
      </c>
    </row>
    <row r="163">
      <c r="E163" s="11">
        <f>IF($B163="","",SUMIFS($D$2:$D163,$B$2:$B163,$B163))</f>
        <v/>
      </c>
    </row>
    <row r="164">
      <c r="E164" s="11">
        <f>IF($B164="","",SUMIFS($D$2:$D164,$B$2:$B164,$B164))</f>
        <v/>
      </c>
    </row>
    <row r="165">
      <c r="E165" s="11">
        <f>IF($B165="","",SUMIFS($D$2:$D165,$B$2:$B165,$B165))</f>
        <v/>
      </c>
    </row>
    <row r="166">
      <c r="E166" s="11">
        <f>IF($B166="","",SUMIFS($D$2:$D166,$B$2:$B166,$B166))</f>
        <v/>
      </c>
    </row>
    <row r="167">
      <c r="E167" s="11">
        <f>IF($B167="","",SUMIFS($D$2:$D167,$B$2:$B167,$B167))</f>
        <v/>
      </c>
    </row>
    <row r="168">
      <c r="E168" s="11">
        <f>IF($B168="","",SUMIFS($D$2:$D168,$B$2:$B168,$B168))</f>
        <v/>
      </c>
    </row>
    <row r="169">
      <c r="E169" s="11">
        <f>IF($B169="","",SUMIFS($D$2:$D169,$B$2:$B169,$B169))</f>
        <v/>
      </c>
    </row>
    <row r="170">
      <c r="E170" s="11">
        <f>IF($B170="","",SUMIFS($D$2:$D170,$B$2:$B170,$B170))</f>
        <v/>
      </c>
    </row>
    <row r="171">
      <c r="E171" s="11">
        <f>IF($B171="","",SUMIFS($D$2:$D171,$B$2:$B171,$B171))</f>
        <v/>
      </c>
    </row>
    <row r="172">
      <c r="E172" s="11">
        <f>IF($B172="","",SUMIFS($D$2:$D172,$B$2:$B172,$B172))</f>
        <v/>
      </c>
    </row>
    <row r="173">
      <c r="E173" s="11">
        <f>IF($B173="","",SUMIFS($D$2:$D173,$B$2:$B173,$B173))</f>
        <v/>
      </c>
    </row>
    <row r="174">
      <c r="E174" s="11">
        <f>IF($B174="","",SUMIFS($D$2:$D174,$B$2:$B174,$B174))</f>
        <v/>
      </c>
    </row>
    <row r="175">
      <c r="E175" s="11">
        <f>IF($B175="","",SUMIFS($D$2:$D175,$B$2:$B175,$B175))</f>
        <v/>
      </c>
    </row>
    <row r="176">
      <c r="E176" s="11">
        <f>IF($B176="","",SUMIFS($D$2:$D176,$B$2:$B176,$B176))</f>
        <v/>
      </c>
    </row>
    <row r="177">
      <c r="E177" s="11">
        <f>IF($B177="","",SUMIFS($D$2:$D177,$B$2:$B177,$B177))</f>
        <v/>
      </c>
    </row>
    <row r="178">
      <c r="E178" s="11">
        <f>IF($B178="","",SUMIFS($D$2:$D178,$B$2:$B178,$B178))</f>
        <v/>
      </c>
    </row>
    <row r="179">
      <c r="E179" s="11">
        <f>IF($B179="","",SUMIFS($D$2:$D179,$B$2:$B179,$B179))</f>
        <v/>
      </c>
    </row>
    <row r="180">
      <c r="E180" s="11">
        <f>IF($B180="","",SUMIFS($D$2:$D180,$B$2:$B180,$B180))</f>
        <v/>
      </c>
    </row>
    <row r="181">
      <c r="E181" s="11">
        <f>IF($B181="","",SUMIFS($D$2:$D181,$B$2:$B181,$B181))</f>
        <v/>
      </c>
    </row>
    <row r="182">
      <c r="E182" s="11">
        <f>IF($B182="","",SUMIFS($D$2:$D182,$B$2:$B182,$B182))</f>
        <v/>
      </c>
    </row>
    <row r="183">
      <c r="E183" s="11">
        <f>IF($B183="","",SUMIFS($D$2:$D183,$B$2:$B183,$B183))</f>
        <v/>
      </c>
    </row>
    <row r="184">
      <c r="E184" s="11">
        <f>IF($B184="","",SUMIFS($D$2:$D184,$B$2:$B184,$B184))</f>
        <v/>
      </c>
    </row>
    <row r="185">
      <c r="E185" s="11">
        <f>IF($B185="","",SUMIFS($D$2:$D185,$B$2:$B185,$B185))</f>
        <v/>
      </c>
    </row>
    <row r="186">
      <c r="E186" s="11">
        <f>IF($B186="","",SUMIFS($D$2:$D186,$B$2:$B186,$B186))</f>
        <v/>
      </c>
    </row>
    <row r="187">
      <c r="E187" s="11">
        <f>IF($B187="","",SUMIFS($D$2:$D187,$B$2:$B187,$B187))</f>
        <v/>
      </c>
    </row>
    <row r="188">
      <c r="E188" s="11">
        <f>IF($B188="","",SUMIFS($D$2:$D188,$B$2:$B188,$B188))</f>
        <v/>
      </c>
    </row>
    <row r="189">
      <c r="E189" s="11">
        <f>IF($B189="","",SUMIFS($D$2:$D189,$B$2:$B189,$B189))</f>
        <v/>
      </c>
    </row>
    <row r="190">
      <c r="E190" s="11">
        <f>IF($B190="","",SUMIFS($D$2:$D190,$B$2:$B190,$B190))</f>
        <v/>
      </c>
    </row>
    <row r="191">
      <c r="E191" s="11">
        <f>IF($B191="","",SUMIFS($D$2:$D191,$B$2:$B191,$B191))</f>
        <v/>
      </c>
    </row>
    <row r="192">
      <c r="E192" s="11">
        <f>IF($B192="","",SUMIFS($D$2:$D192,$B$2:$B192,$B192))</f>
        <v/>
      </c>
    </row>
    <row r="193">
      <c r="E193" s="11">
        <f>IF($B193="","",SUMIFS($D$2:$D193,$B$2:$B193,$B193))</f>
        <v/>
      </c>
    </row>
    <row r="194">
      <c r="E194" s="11">
        <f>IF($B194="","",SUMIFS($D$2:$D194,$B$2:$B194,$B194))</f>
        <v/>
      </c>
    </row>
    <row r="195">
      <c r="E195" s="11">
        <f>IF($B195="","",SUMIFS($D$2:$D195,$B$2:$B195,$B195))</f>
        <v/>
      </c>
    </row>
    <row r="196">
      <c r="E196" s="11">
        <f>IF($B196="","",SUMIFS($D$2:$D196,$B$2:$B196,$B196))</f>
        <v/>
      </c>
    </row>
    <row r="197">
      <c r="E197" s="11">
        <f>IF($B197="","",SUMIFS($D$2:$D197,$B$2:$B197,$B197))</f>
        <v/>
      </c>
    </row>
    <row r="198">
      <c r="E198" s="11">
        <f>IF($B198="","",SUMIFS($D$2:$D198,$B$2:$B198,$B198))</f>
        <v/>
      </c>
    </row>
    <row r="199">
      <c r="E199" s="11">
        <f>IF($B199="","",SUMIFS($D$2:$D199,$B$2:$B199,$B199))</f>
        <v/>
      </c>
    </row>
    <row r="200">
      <c r="E200" s="11">
        <f>IF($B200="","",SUMIFS($D$2:$D200,$B$2:$B200,$B200))</f>
        <v/>
      </c>
    </row>
    <row r="201">
      <c r="E201" s="11">
        <f>IF($B201="","",SUMIFS($D$2:$D201,$B$2:$B201,$B201))</f>
        <v/>
      </c>
    </row>
    <row r="202">
      <c r="E202" s="11">
        <f>IF($B202="","",SUMIFS($D$2:$D202,$B$2:$B202,$B202))</f>
        <v/>
      </c>
    </row>
    <row r="203">
      <c r="E203" s="11">
        <f>IF($B203="","",SUMIFS($D$2:$D203,$B$2:$B203,$B203))</f>
        <v/>
      </c>
    </row>
    <row r="204">
      <c r="E204" s="11">
        <f>IF($B204="","",SUMIFS($D$2:$D204,$B$2:$B204,$B204))</f>
        <v/>
      </c>
    </row>
    <row r="205">
      <c r="E205" s="11">
        <f>IF($B205="","",SUMIFS($D$2:$D205,$B$2:$B205,$B205))</f>
        <v/>
      </c>
    </row>
    <row r="206">
      <c r="E206" s="11">
        <f>IF($B206="","",SUMIFS($D$2:$D206,$B$2:$B206,$B206))</f>
        <v/>
      </c>
    </row>
    <row r="207">
      <c r="E207" s="11">
        <f>IF($B207="","",SUMIFS($D$2:$D207,$B$2:$B207,$B207))</f>
        <v/>
      </c>
    </row>
    <row r="208">
      <c r="E208" s="11">
        <f>IF($B208="","",SUMIFS($D$2:$D208,$B$2:$B208,$B208))</f>
        <v/>
      </c>
    </row>
    <row r="209">
      <c r="E209" s="11">
        <f>IF($B209="","",SUMIFS($D$2:$D209,$B$2:$B209,$B209))</f>
        <v/>
      </c>
    </row>
    <row r="210">
      <c r="E210" s="11">
        <f>IF($B210="","",SUMIFS($D$2:$D210,$B$2:$B210,$B210))</f>
        <v/>
      </c>
    </row>
    <row r="211">
      <c r="E211" s="11">
        <f>IF($B211="","",SUMIFS($D$2:$D211,$B$2:$B211,$B211))</f>
        <v/>
      </c>
    </row>
    <row r="212">
      <c r="E212" s="11">
        <f>IF($B212="","",SUMIFS($D$2:$D212,$B$2:$B212,$B212))</f>
        <v/>
      </c>
    </row>
    <row r="213">
      <c r="E213" s="11">
        <f>IF($B213="","",SUMIFS($D$2:$D213,$B$2:$B213,$B213))</f>
        <v/>
      </c>
    </row>
    <row r="214">
      <c r="E214" s="11">
        <f>IF($B214="","",SUMIFS($D$2:$D214,$B$2:$B214,$B214))</f>
        <v/>
      </c>
    </row>
    <row r="215">
      <c r="E215" s="11">
        <f>IF($B215="","",SUMIFS($D$2:$D215,$B$2:$B215,$B215))</f>
        <v/>
      </c>
    </row>
    <row r="216">
      <c r="E216" s="11">
        <f>IF($B216="","",SUMIFS($D$2:$D216,$B$2:$B216,$B216))</f>
        <v/>
      </c>
    </row>
    <row r="217">
      <c r="E217" s="11">
        <f>IF($B217="","",SUMIFS($D$2:$D217,$B$2:$B217,$B217))</f>
        <v/>
      </c>
    </row>
    <row r="218">
      <c r="E218" s="11">
        <f>IF($B218="","",SUMIFS($D$2:$D218,$B$2:$B218,$B218))</f>
        <v/>
      </c>
    </row>
    <row r="219">
      <c r="E219" s="11">
        <f>IF($B219="","",SUMIFS($D$2:$D219,$B$2:$B219,$B219))</f>
        <v/>
      </c>
    </row>
    <row r="220">
      <c r="E220" s="11">
        <f>IF($B220="","",SUMIFS($D$2:$D220,$B$2:$B220,$B220))</f>
        <v/>
      </c>
    </row>
    <row r="221">
      <c r="E221" s="11">
        <f>IF($B221="","",SUMIFS($D$2:$D221,$B$2:$B221,$B221))</f>
        <v/>
      </c>
    </row>
    <row r="222">
      <c r="E222" s="11">
        <f>IF($B222="","",SUMIFS($D$2:$D222,$B$2:$B222,$B222))</f>
        <v/>
      </c>
    </row>
    <row r="223">
      <c r="E223" s="11">
        <f>IF($B223="","",SUMIFS($D$2:$D223,$B$2:$B223,$B223))</f>
        <v/>
      </c>
    </row>
    <row r="224">
      <c r="E224" s="11">
        <f>IF($B224="","",SUMIFS($D$2:$D224,$B$2:$B224,$B224))</f>
        <v/>
      </c>
    </row>
    <row r="225">
      <c r="E225" s="11">
        <f>IF($B225="","",SUMIFS($D$2:$D225,$B$2:$B225,$B225))</f>
        <v/>
      </c>
    </row>
    <row r="226">
      <c r="E226" s="11">
        <f>IF($B226="","",SUMIFS($D$2:$D226,$B$2:$B226,$B226))</f>
        <v/>
      </c>
    </row>
    <row r="227">
      <c r="E227" s="11">
        <f>IF($B227="","",SUMIFS($D$2:$D227,$B$2:$B227,$B227))</f>
        <v/>
      </c>
    </row>
    <row r="228">
      <c r="E228" s="11">
        <f>IF($B228="","",SUMIFS($D$2:$D228,$B$2:$B228,$B228))</f>
        <v/>
      </c>
    </row>
    <row r="229">
      <c r="E229" s="11">
        <f>IF($B229="","",SUMIFS($D$2:$D229,$B$2:$B229,$B229))</f>
        <v/>
      </c>
    </row>
    <row r="230">
      <c r="E230" s="11">
        <f>IF($B230="","",SUMIFS($D$2:$D230,$B$2:$B230,$B230))</f>
        <v/>
      </c>
    </row>
    <row r="231">
      <c r="E231" s="11">
        <f>IF($B231="","",SUMIFS($D$2:$D231,$B$2:$B231,$B231))</f>
        <v/>
      </c>
    </row>
    <row r="232">
      <c r="E232" s="11">
        <f>IF($B232="","",SUMIFS($D$2:$D232,$B$2:$B232,$B232))</f>
        <v/>
      </c>
    </row>
    <row r="233">
      <c r="E233" s="11">
        <f>IF($B233="","",SUMIFS($D$2:$D233,$B$2:$B233,$B233))</f>
        <v/>
      </c>
    </row>
    <row r="234">
      <c r="E234" s="11">
        <f>IF($B234="","",SUMIFS($D$2:$D234,$B$2:$B234,$B234))</f>
        <v/>
      </c>
    </row>
    <row r="235">
      <c r="E235" s="11">
        <f>IF($B235="","",SUMIFS($D$2:$D235,$B$2:$B235,$B235))</f>
        <v/>
      </c>
    </row>
    <row r="236">
      <c r="E236" s="11">
        <f>IF($B236="","",SUMIFS($D$2:$D236,$B$2:$B236,$B236))</f>
        <v/>
      </c>
    </row>
    <row r="237">
      <c r="E237" s="11">
        <f>IF($B237="","",SUMIFS($D$2:$D237,$B$2:$B237,$B237))</f>
        <v/>
      </c>
    </row>
    <row r="238">
      <c r="E238" s="11">
        <f>IF($B238="","",SUMIFS($D$2:$D238,$B$2:$B238,$B238))</f>
        <v/>
      </c>
    </row>
    <row r="239">
      <c r="E239" s="11">
        <f>IF($B239="","",SUMIFS($D$2:$D239,$B$2:$B239,$B239))</f>
        <v/>
      </c>
    </row>
    <row r="240">
      <c r="E240" s="11">
        <f>IF($B240="","",SUMIFS($D$2:$D240,$B$2:$B240,$B240))</f>
        <v/>
      </c>
    </row>
    <row r="241">
      <c r="E241" s="11">
        <f>IF($B241="","",SUMIFS($D$2:$D241,$B$2:$B241,$B241))</f>
        <v/>
      </c>
    </row>
    <row r="242">
      <c r="E242" s="11">
        <f>IF($B242="","",SUMIFS($D$2:$D242,$B$2:$B242,$B242))</f>
        <v/>
      </c>
    </row>
    <row r="243">
      <c r="E243" s="11">
        <f>IF($B243="","",SUMIFS($D$2:$D243,$B$2:$B243,$B243))</f>
        <v/>
      </c>
    </row>
    <row r="244">
      <c r="E244" s="11">
        <f>IF($B244="","",SUMIFS($D$2:$D244,$B$2:$B244,$B244))</f>
        <v/>
      </c>
    </row>
    <row r="245">
      <c r="E245" s="11">
        <f>IF($B245="","",SUMIFS($D$2:$D245,$B$2:$B245,$B245))</f>
        <v/>
      </c>
    </row>
    <row r="246">
      <c r="E246" s="11">
        <f>IF($B246="","",SUMIFS($D$2:$D246,$B$2:$B246,$B246))</f>
        <v/>
      </c>
    </row>
    <row r="247">
      <c r="E247" s="11">
        <f>IF($B247="","",SUMIFS($D$2:$D247,$B$2:$B247,$B247))</f>
        <v/>
      </c>
    </row>
    <row r="248">
      <c r="E248" s="11">
        <f>IF($B248="","",SUMIFS($D$2:$D248,$B$2:$B248,$B248))</f>
        <v/>
      </c>
    </row>
    <row r="249">
      <c r="E249" s="11">
        <f>IF($B249="","",SUMIFS($D$2:$D249,$B$2:$B249,$B249))</f>
        <v/>
      </c>
    </row>
    <row r="250">
      <c r="E250" s="11">
        <f>IF($B250="","",SUMIFS($D$2:$D250,$B$2:$B250,$B250))</f>
        <v/>
      </c>
    </row>
    <row r="251">
      <c r="E251" s="11">
        <f>IF($B251="","",SUMIFS($D$2:$D251,$B$2:$B251,$B251))</f>
        <v/>
      </c>
    </row>
    <row r="252">
      <c r="E252" s="11">
        <f>IF($B252="","",SUMIFS($D$2:$D252,$B$2:$B252,$B252))</f>
        <v/>
      </c>
    </row>
    <row r="253">
      <c r="E253" s="11">
        <f>IF($B253="","",SUMIFS($D$2:$D253,$B$2:$B253,$B253))</f>
        <v/>
      </c>
    </row>
    <row r="254">
      <c r="E254" s="11">
        <f>IF($B254="","",SUMIFS($D$2:$D254,$B$2:$B254,$B254))</f>
        <v/>
      </c>
    </row>
    <row r="255">
      <c r="E255" s="11">
        <f>IF($B255="","",SUMIFS($D$2:$D255,$B$2:$B255,$B255))</f>
        <v/>
      </c>
    </row>
    <row r="256">
      <c r="E256" s="11">
        <f>IF($B256="","",SUMIFS($D$2:$D256,$B$2:$B256,$B256))</f>
        <v/>
      </c>
    </row>
    <row r="257">
      <c r="E257" s="11">
        <f>IF($B257="","",SUMIFS($D$2:$D257,$B$2:$B257,$B257))</f>
        <v/>
      </c>
    </row>
    <row r="258">
      <c r="E258" s="11">
        <f>IF($B258="","",SUMIFS($D$2:$D258,$B$2:$B258,$B258))</f>
        <v/>
      </c>
    </row>
    <row r="259">
      <c r="E259" s="11">
        <f>IF($B259="","",SUMIFS($D$2:$D259,$B$2:$B259,$B259))</f>
        <v/>
      </c>
    </row>
    <row r="260">
      <c r="E260" s="11">
        <f>IF($B260="","",SUMIFS($D$2:$D260,$B$2:$B260,$B260))</f>
        <v/>
      </c>
    </row>
    <row r="261">
      <c r="E261" s="11">
        <f>IF($B261="","",SUMIFS($D$2:$D261,$B$2:$B261,$B261))</f>
        <v/>
      </c>
    </row>
    <row r="262">
      <c r="E262" s="11">
        <f>IF($B262="","",SUMIFS($D$2:$D262,$B$2:$B262,$B262))</f>
        <v/>
      </c>
    </row>
    <row r="263">
      <c r="E263" s="11">
        <f>IF($B263="","",SUMIFS($D$2:$D263,$B$2:$B263,$B263))</f>
        <v/>
      </c>
    </row>
    <row r="264">
      <c r="E264" s="11">
        <f>IF($B264="","",SUMIFS($D$2:$D264,$B$2:$B264,$B264))</f>
        <v/>
      </c>
    </row>
    <row r="265">
      <c r="E265" s="11">
        <f>IF($B265="","",SUMIFS($D$2:$D265,$B$2:$B265,$B265))</f>
        <v/>
      </c>
    </row>
    <row r="266">
      <c r="E266" s="11">
        <f>IF($B266="","",SUMIFS($D$2:$D266,$B$2:$B266,$B266))</f>
        <v/>
      </c>
    </row>
    <row r="267">
      <c r="E267" s="11">
        <f>IF($B267="","",SUMIFS($D$2:$D267,$B$2:$B267,$B267))</f>
        <v/>
      </c>
    </row>
    <row r="268">
      <c r="E268" s="11">
        <f>IF($B268="","",SUMIFS($D$2:$D268,$B$2:$B268,$B268))</f>
        <v/>
      </c>
    </row>
    <row r="269">
      <c r="E269" s="11">
        <f>IF($B269="","",SUMIFS($D$2:$D269,$B$2:$B269,$B269))</f>
        <v/>
      </c>
    </row>
    <row r="270">
      <c r="E270" s="11">
        <f>IF($B270="","",SUMIFS($D$2:$D270,$B$2:$B270,$B270))</f>
        <v/>
      </c>
    </row>
    <row r="271">
      <c r="E271" s="11">
        <f>IF($B271="","",SUMIFS($D$2:$D271,$B$2:$B271,$B271))</f>
        <v/>
      </c>
    </row>
    <row r="272">
      <c r="E272" s="11">
        <f>IF($B272="","",SUMIFS($D$2:$D272,$B$2:$B272,$B272))</f>
        <v/>
      </c>
    </row>
    <row r="273">
      <c r="E273" s="11">
        <f>IF($B273="","",SUMIFS($D$2:$D273,$B$2:$B273,$B273))</f>
        <v/>
      </c>
    </row>
    <row r="274">
      <c r="E274" s="11">
        <f>IF($B274="","",SUMIFS($D$2:$D274,$B$2:$B274,$B274))</f>
        <v/>
      </c>
    </row>
    <row r="275">
      <c r="E275" s="11">
        <f>IF($B275="","",SUMIFS($D$2:$D275,$B$2:$B275,$B275))</f>
        <v/>
      </c>
    </row>
    <row r="276">
      <c r="E276" s="11">
        <f>IF($B276="","",SUMIFS($D$2:$D276,$B$2:$B276,$B276))</f>
        <v/>
      </c>
    </row>
    <row r="277">
      <c r="E277" s="11">
        <f>IF($B277="","",SUMIFS($D$2:$D277,$B$2:$B277,$B277))</f>
        <v/>
      </c>
    </row>
    <row r="278">
      <c r="E278" s="11">
        <f>IF($B278="","",SUMIFS($D$2:$D278,$B$2:$B278,$B278))</f>
        <v/>
      </c>
    </row>
    <row r="279">
      <c r="E279" s="11">
        <f>IF($B279="","",SUMIFS($D$2:$D279,$B$2:$B279,$B279))</f>
        <v/>
      </c>
    </row>
    <row r="280">
      <c r="E280" s="11">
        <f>IF($B280="","",SUMIFS($D$2:$D280,$B$2:$B280,$B280))</f>
        <v/>
      </c>
    </row>
    <row r="281">
      <c r="E281" s="11">
        <f>IF($B281="","",SUMIFS($D$2:$D281,$B$2:$B281,$B281))</f>
        <v/>
      </c>
    </row>
    <row r="282">
      <c r="E282" s="11">
        <f>IF($B282="","",SUMIFS($D$2:$D282,$B$2:$B282,$B282))</f>
        <v/>
      </c>
    </row>
    <row r="283">
      <c r="E283" s="11">
        <f>IF($B283="","",SUMIFS($D$2:$D283,$B$2:$B283,$B283))</f>
        <v/>
      </c>
    </row>
    <row r="284">
      <c r="E284" s="11">
        <f>IF($B284="","",SUMIFS($D$2:$D284,$B$2:$B284,$B284))</f>
        <v/>
      </c>
    </row>
    <row r="285">
      <c r="E285" s="11">
        <f>IF($B285="","",SUMIFS($D$2:$D285,$B$2:$B285,$B285))</f>
        <v/>
      </c>
    </row>
    <row r="286">
      <c r="E286" s="11">
        <f>IF($B286="","",SUMIFS($D$2:$D286,$B$2:$B286,$B286))</f>
        <v/>
      </c>
    </row>
    <row r="287">
      <c r="E287" s="11">
        <f>IF($B287="","",SUMIFS($D$2:$D287,$B$2:$B287,$B287))</f>
        <v/>
      </c>
    </row>
    <row r="288">
      <c r="E288" s="11">
        <f>IF($B288="","",SUMIFS($D$2:$D288,$B$2:$B288,$B288))</f>
        <v/>
      </c>
    </row>
    <row r="289">
      <c r="E289" s="11">
        <f>IF($B289="","",SUMIFS($D$2:$D289,$B$2:$B289,$B289))</f>
        <v/>
      </c>
    </row>
    <row r="290">
      <c r="E290" s="11">
        <f>IF($B290="","",SUMIFS($D$2:$D290,$B$2:$B290,$B290))</f>
        <v/>
      </c>
    </row>
    <row r="291">
      <c r="E291" s="11">
        <f>IF($B291="","",SUMIFS($D$2:$D291,$B$2:$B291,$B291))</f>
        <v/>
      </c>
    </row>
    <row r="292">
      <c r="E292" s="11">
        <f>IF($B292="","",SUMIFS($D$2:$D292,$B$2:$B292,$B292))</f>
        <v/>
      </c>
    </row>
    <row r="293">
      <c r="E293" s="11">
        <f>IF($B293="","",SUMIFS($D$2:$D293,$B$2:$B293,$B293))</f>
        <v/>
      </c>
    </row>
    <row r="294">
      <c r="E294" s="11">
        <f>IF($B294="","",SUMIFS($D$2:$D294,$B$2:$B294,$B294))</f>
        <v/>
      </c>
    </row>
    <row r="295">
      <c r="E295" s="11">
        <f>IF($B295="","",SUMIFS($D$2:$D295,$B$2:$B295,$B295))</f>
        <v/>
      </c>
    </row>
    <row r="296">
      <c r="E296" s="11">
        <f>IF($B296="","",SUMIFS($D$2:$D296,$B$2:$B296,$B296))</f>
        <v/>
      </c>
    </row>
    <row r="297">
      <c r="E297" s="11">
        <f>IF($B297="","",SUMIFS($D$2:$D297,$B$2:$B297,$B297))</f>
        <v/>
      </c>
    </row>
    <row r="298">
      <c r="E298" s="11">
        <f>IF($B298="","",SUMIFS($D$2:$D298,$B$2:$B298,$B298))</f>
        <v/>
      </c>
    </row>
    <row r="299">
      <c r="E299" s="11">
        <f>IF($B299="","",SUMIFS($D$2:$D299,$B$2:$B299,$B299))</f>
        <v/>
      </c>
    </row>
    <row r="300">
      <c r="E300" s="11">
        <f>IF($B300="","",SUMIFS($D$2:$D300,$B$2:$B300,$B300))</f>
        <v/>
      </c>
    </row>
    <row r="301">
      <c r="E301" s="11">
        <f>IF($B301="","",SUMIFS($D$2:$D301,$B$2:$B301,$B301))</f>
        <v/>
      </c>
    </row>
    <row r="302">
      <c r="E302" s="11">
        <f>IF($B302="","",SUMIFS($D$2:$D302,$B$2:$B302,$B302))</f>
        <v/>
      </c>
    </row>
    <row r="303">
      <c r="E303" s="11">
        <f>IF($B303="","",SUMIFS($D$2:$D303,$B$2:$B303,$B303))</f>
        <v/>
      </c>
    </row>
    <row r="304">
      <c r="E304" s="11">
        <f>IF($B304="","",SUMIFS($D$2:$D304,$B$2:$B304,$B304))</f>
        <v/>
      </c>
    </row>
    <row r="305">
      <c r="E305" s="11">
        <f>IF($B305="","",SUMIFS($D$2:$D305,$B$2:$B305,$B305))</f>
        <v/>
      </c>
    </row>
    <row r="306">
      <c r="E306" s="11">
        <f>IF($B306="","",SUMIFS($D$2:$D306,$B$2:$B306,$B306))</f>
        <v/>
      </c>
    </row>
    <row r="307">
      <c r="E307" s="11">
        <f>IF($B307="","",SUMIFS($D$2:$D307,$B$2:$B307,$B307))</f>
        <v/>
      </c>
    </row>
    <row r="308">
      <c r="E308" s="11">
        <f>IF($B308="","",SUMIFS($D$2:$D308,$B$2:$B308,$B308))</f>
        <v/>
      </c>
    </row>
    <row r="309">
      <c r="E309" s="11">
        <f>IF($B309="","",SUMIFS($D$2:$D309,$B$2:$B309,$B309))</f>
        <v/>
      </c>
    </row>
    <row r="310">
      <c r="E310" s="11">
        <f>IF($B310="","",SUMIFS($D$2:$D310,$B$2:$B310,$B310))</f>
        <v/>
      </c>
    </row>
    <row r="311">
      <c r="E311" s="11">
        <f>IF($B311="","",SUMIFS($D$2:$D311,$B$2:$B311,$B311))</f>
        <v/>
      </c>
    </row>
    <row r="312">
      <c r="E312" s="11">
        <f>IF($B312="","",SUMIFS($D$2:$D312,$B$2:$B312,$B312))</f>
        <v/>
      </c>
    </row>
    <row r="313">
      <c r="E313" s="11">
        <f>IF($B313="","",SUMIFS($D$2:$D313,$B$2:$B313,$B313))</f>
        <v/>
      </c>
    </row>
    <row r="314">
      <c r="E314" s="11">
        <f>IF($B314="","",SUMIFS($D$2:$D314,$B$2:$B314,$B314))</f>
        <v/>
      </c>
    </row>
    <row r="315">
      <c r="E315" s="11">
        <f>IF($B315="","",SUMIFS($D$2:$D315,$B$2:$B315,$B315))</f>
        <v/>
      </c>
    </row>
    <row r="316">
      <c r="E316" s="11">
        <f>IF($B316="","",SUMIFS($D$2:$D316,$B$2:$B316,$B316))</f>
        <v/>
      </c>
    </row>
    <row r="317">
      <c r="E317" s="11">
        <f>IF($B317="","",SUMIFS($D$2:$D317,$B$2:$B317,$B317))</f>
        <v/>
      </c>
    </row>
    <row r="318">
      <c r="E318" s="11">
        <f>IF($B318="","",SUMIFS($D$2:$D318,$B$2:$B318,$B318))</f>
        <v/>
      </c>
    </row>
    <row r="319">
      <c r="E319" s="11">
        <f>IF($B319="","",SUMIFS($D$2:$D319,$B$2:$B319,$B319))</f>
        <v/>
      </c>
    </row>
    <row r="320">
      <c r="E320" s="11">
        <f>IF($B320="","",SUMIFS($D$2:$D320,$B$2:$B320,$B320))</f>
        <v/>
      </c>
    </row>
    <row r="321">
      <c r="E321" s="11">
        <f>IF($B321="","",SUMIFS($D$2:$D321,$B$2:$B321,$B321))</f>
        <v/>
      </c>
    </row>
    <row r="322">
      <c r="E322" s="11">
        <f>IF($B322="","",SUMIFS($D$2:$D322,$B$2:$B322,$B322))</f>
        <v/>
      </c>
    </row>
    <row r="323">
      <c r="E323" s="11">
        <f>IF($B323="","",SUMIFS($D$2:$D323,$B$2:$B323,$B323))</f>
        <v/>
      </c>
    </row>
    <row r="324">
      <c r="E324" s="11">
        <f>IF($B324="","",SUMIFS($D$2:$D324,$B$2:$B324,$B324))</f>
        <v/>
      </c>
    </row>
    <row r="325">
      <c r="E325" s="11">
        <f>IF($B325="","",SUMIFS($D$2:$D325,$B$2:$B325,$B325))</f>
        <v/>
      </c>
    </row>
    <row r="326">
      <c r="E326" s="11">
        <f>IF($B326="","",SUMIFS($D$2:$D326,$B$2:$B326,$B326))</f>
        <v/>
      </c>
    </row>
    <row r="327">
      <c r="E327" s="11">
        <f>IF($B327="","",SUMIFS($D$2:$D327,$B$2:$B327,$B327))</f>
        <v/>
      </c>
    </row>
    <row r="328">
      <c r="E328" s="11">
        <f>IF($B328="","",SUMIFS($D$2:$D328,$B$2:$B328,$B328))</f>
        <v/>
      </c>
    </row>
    <row r="329">
      <c r="E329" s="11">
        <f>IF($B329="","",SUMIFS($D$2:$D329,$B$2:$B329,$B329))</f>
        <v/>
      </c>
    </row>
    <row r="330">
      <c r="E330" s="11">
        <f>IF($B330="","",SUMIFS($D$2:$D330,$B$2:$B330,$B330))</f>
        <v/>
      </c>
    </row>
    <row r="331">
      <c r="E331" s="11">
        <f>IF($B331="","",SUMIFS($D$2:$D331,$B$2:$B331,$B331))</f>
        <v/>
      </c>
    </row>
    <row r="332">
      <c r="E332" s="11">
        <f>IF($B332="","",SUMIFS($D$2:$D332,$B$2:$B332,$B332))</f>
        <v/>
      </c>
    </row>
    <row r="333">
      <c r="E333" s="11">
        <f>IF($B333="","",SUMIFS($D$2:$D333,$B$2:$B333,$B333))</f>
        <v/>
      </c>
    </row>
    <row r="334">
      <c r="E334" s="11">
        <f>IF($B334="","",SUMIFS($D$2:$D334,$B$2:$B334,$B334))</f>
        <v/>
      </c>
    </row>
    <row r="335">
      <c r="E335" s="11">
        <f>IF($B335="","",SUMIFS($D$2:$D335,$B$2:$B335,$B335))</f>
        <v/>
      </c>
    </row>
    <row r="336">
      <c r="E336" s="11">
        <f>IF($B336="","",SUMIFS($D$2:$D336,$B$2:$B336,$B336))</f>
        <v/>
      </c>
    </row>
    <row r="337">
      <c r="E337" s="11">
        <f>IF($B337="","",SUMIFS($D$2:$D337,$B$2:$B337,$B337))</f>
        <v/>
      </c>
    </row>
    <row r="338">
      <c r="E338" s="11">
        <f>IF($B338="","",SUMIFS($D$2:$D338,$B$2:$B338,$B338))</f>
        <v/>
      </c>
    </row>
    <row r="339">
      <c r="E339" s="11">
        <f>IF($B339="","",SUMIFS($D$2:$D339,$B$2:$B339,$B339))</f>
        <v/>
      </c>
    </row>
    <row r="340">
      <c r="E340" s="11">
        <f>IF($B340="","",SUMIFS($D$2:$D340,$B$2:$B340,$B340))</f>
        <v/>
      </c>
    </row>
    <row r="341">
      <c r="E341" s="11">
        <f>IF($B341="","",SUMIFS($D$2:$D341,$B$2:$B341,$B341))</f>
        <v/>
      </c>
    </row>
    <row r="342">
      <c r="E342" s="11">
        <f>IF($B342="","",SUMIFS($D$2:$D342,$B$2:$B342,$B342))</f>
        <v/>
      </c>
    </row>
    <row r="343">
      <c r="E343" s="11">
        <f>IF($B343="","",SUMIFS($D$2:$D343,$B$2:$B343,$B343))</f>
        <v/>
      </c>
    </row>
    <row r="344">
      <c r="E344" s="11">
        <f>IF($B344="","",SUMIFS($D$2:$D344,$B$2:$B344,$B344))</f>
        <v/>
      </c>
    </row>
    <row r="345">
      <c r="E345" s="11">
        <f>IF($B345="","",SUMIFS($D$2:$D345,$B$2:$B345,$B345))</f>
        <v/>
      </c>
    </row>
    <row r="346">
      <c r="E346" s="11">
        <f>IF($B346="","",SUMIFS($D$2:$D346,$B$2:$B346,$B346))</f>
        <v/>
      </c>
    </row>
    <row r="347">
      <c r="E347" s="11">
        <f>IF($B347="","",SUMIFS($D$2:$D347,$B$2:$B347,$B347))</f>
        <v/>
      </c>
    </row>
    <row r="348">
      <c r="E348" s="11">
        <f>IF($B348="","",SUMIFS($D$2:$D348,$B$2:$B348,$B348))</f>
        <v/>
      </c>
    </row>
    <row r="349">
      <c r="E349" s="11">
        <f>IF($B349="","",SUMIFS($D$2:$D349,$B$2:$B349,$B349))</f>
        <v/>
      </c>
    </row>
    <row r="350">
      <c r="E350" s="11">
        <f>IF($B350="","",SUMIFS($D$2:$D350,$B$2:$B350,$B350))</f>
        <v/>
      </c>
    </row>
    <row r="351">
      <c r="E351" s="11">
        <f>IF($B351="","",SUMIFS($D$2:$D351,$B$2:$B351,$B351))</f>
        <v/>
      </c>
    </row>
    <row r="352">
      <c r="E352" s="11">
        <f>IF($B352="","",SUMIFS($D$2:$D352,$B$2:$B352,$B352))</f>
        <v/>
      </c>
    </row>
    <row r="353">
      <c r="E353" s="11">
        <f>IF($B353="","",SUMIFS($D$2:$D353,$B$2:$B353,$B353))</f>
        <v/>
      </c>
    </row>
    <row r="354">
      <c r="E354" s="11">
        <f>IF($B354="","",SUMIFS($D$2:$D354,$B$2:$B354,$B354))</f>
        <v/>
      </c>
    </row>
    <row r="355">
      <c r="E355" s="11">
        <f>IF($B355="","",SUMIFS($D$2:$D355,$B$2:$B355,$B355))</f>
        <v/>
      </c>
    </row>
    <row r="356">
      <c r="E356" s="11">
        <f>IF($B356="","",SUMIFS($D$2:$D356,$B$2:$B356,$B356))</f>
        <v/>
      </c>
    </row>
    <row r="357">
      <c r="E357" s="11">
        <f>IF($B357="","",SUMIFS($D$2:$D357,$B$2:$B357,$B357))</f>
        <v/>
      </c>
    </row>
    <row r="358">
      <c r="E358" s="11">
        <f>IF($B358="","",SUMIFS($D$2:$D358,$B$2:$B358,$B358))</f>
        <v/>
      </c>
    </row>
    <row r="359">
      <c r="E359" s="11">
        <f>IF($B359="","",SUMIFS($D$2:$D359,$B$2:$B359,$B359))</f>
        <v/>
      </c>
    </row>
    <row r="360">
      <c r="E360" s="11">
        <f>IF($B360="","",SUMIFS($D$2:$D360,$B$2:$B360,$B360))</f>
        <v/>
      </c>
    </row>
    <row r="361">
      <c r="E361" s="11">
        <f>IF($B361="","",SUMIFS($D$2:$D361,$B$2:$B361,$B361))</f>
        <v/>
      </c>
    </row>
    <row r="362">
      <c r="E362" s="11">
        <f>IF($B362="","",SUMIFS($D$2:$D362,$B$2:$B362,$B362))</f>
        <v/>
      </c>
    </row>
    <row r="363">
      <c r="E363" s="11">
        <f>IF($B363="","",SUMIFS($D$2:$D363,$B$2:$B363,$B363))</f>
        <v/>
      </c>
    </row>
    <row r="364">
      <c r="E364" s="11">
        <f>IF($B364="","",SUMIFS($D$2:$D364,$B$2:$B364,$B364))</f>
        <v/>
      </c>
    </row>
    <row r="365">
      <c r="E365" s="11">
        <f>IF($B365="","",SUMIFS($D$2:$D365,$B$2:$B365,$B365))</f>
        <v/>
      </c>
    </row>
    <row r="366">
      <c r="E366" s="11">
        <f>IF($B366="","",SUMIFS($D$2:$D366,$B$2:$B366,$B366))</f>
        <v/>
      </c>
    </row>
    <row r="367">
      <c r="E367" s="11">
        <f>IF($B367="","",SUMIFS($D$2:$D367,$B$2:$B367,$B367))</f>
        <v/>
      </c>
    </row>
    <row r="368">
      <c r="E368" s="11">
        <f>IF($B368="","",SUMIFS($D$2:$D368,$B$2:$B368,$B368))</f>
        <v/>
      </c>
    </row>
    <row r="369">
      <c r="E369" s="11">
        <f>IF($B369="","",SUMIFS($D$2:$D369,$B$2:$B369,$B369))</f>
        <v/>
      </c>
    </row>
    <row r="370">
      <c r="E370" s="11">
        <f>IF($B370="","",SUMIFS($D$2:$D370,$B$2:$B370,$B370))</f>
        <v/>
      </c>
    </row>
    <row r="371">
      <c r="E371" s="11">
        <f>IF($B371="","",SUMIFS($D$2:$D371,$B$2:$B371,$B371))</f>
        <v/>
      </c>
    </row>
    <row r="372">
      <c r="E372" s="11">
        <f>IF($B372="","",SUMIFS($D$2:$D372,$B$2:$B372,$B372))</f>
        <v/>
      </c>
    </row>
    <row r="373">
      <c r="E373" s="11">
        <f>IF($B373="","",SUMIFS($D$2:$D373,$B$2:$B373,$B373))</f>
        <v/>
      </c>
    </row>
    <row r="374">
      <c r="E374" s="11">
        <f>IF($B374="","",SUMIFS($D$2:$D374,$B$2:$B374,$B374))</f>
        <v/>
      </c>
    </row>
    <row r="375">
      <c r="E375" s="11">
        <f>IF($B375="","",SUMIFS($D$2:$D375,$B$2:$B375,$B375))</f>
        <v/>
      </c>
    </row>
    <row r="376">
      <c r="E376" s="11">
        <f>IF($B376="","",SUMIFS($D$2:$D376,$B$2:$B376,$B376))</f>
        <v/>
      </c>
    </row>
    <row r="377">
      <c r="E377" s="11">
        <f>IF($B377="","",SUMIFS($D$2:$D377,$B$2:$B377,$B377))</f>
        <v/>
      </c>
    </row>
    <row r="378">
      <c r="E378" s="11">
        <f>IF($B378="","",SUMIFS($D$2:$D378,$B$2:$B378,$B378))</f>
        <v/>
      </c>
    </row>
    <row r="379">
      <c r="E379" s="11">
        <f>IF($B379="","",SUMIFS($D$2:$D379,$B$2:$B379,$B379))</f>
        <v/>
      </c>
    </row>
    <row r="380">
      <c r="E380" s="11">
        <f>IF($B380="","",SUMIFS($D$2:$D380,$B$2:$B380,$B380))</f>
        <v/>
      </c>
    </row>
    <row r="381">
      <c r="E381" s="11">
        <f>IF($B381="","",SUMIFS($D$2:$D381,$B$2:$B381,$B381))</f>
        <v/>
      </c>
    </row>
    <row r="382">
      <c r="E382" s="11">
        <f>IF($B382="","",SUMIFS($D$2:$D382,$B$2:$B382,$B382))</f>
        <v/>
      </c>
    </row>
    <row r="383">
      <c r="E383" s="11">
        <f>IF($B383="","",SUMIFS($D$2:$D383,$B$2:$B383,$B383))</f>
        <v/>
      </c>
    </row>
    <row r="384">
      <c r="E384" s="11">
        <f>IF($B384="","",SUMIFS($D$2:$D384,$B$2:$B384,$B384))</f>
        <v/>
      </c>
    </row>
    <row r="385">
      <c r="E385" s="11">
        <f>IF($B385="","",SUMIFS($D$2:$D385,$B$2:$B385,$B385))</f>
        <v/>
      </c>
    </row>
    <row r="386">
      <c r="E386" s="11">
        <f>IF($B386="","",SUMIFS($D$2:$D386,$B$2:$B386,$B386))</f>
        <v/>
      </c>
    </row>
    <row r="387">
      <c r="E387" s="11">
        <f>IF($B387="","",SUMIFS($D$2:$D387,$B$2:$B387,$B387))</f>
        <v/>
      </c>
    </row>
    <row r="388">
      <c r="E388" s="11">
        <f>IF($B388="","",SUMIFS($D$2:$D388,$B$2:$B388,$B388))</f>
        <v/>
      </c>
    </row>
    <row r="389">
      <c r="E389" s="11">
        <f>IF($B389="","",SUMIFS($D$2:$D389,$B$2:$B389,$B389))</f>
        <v/>
      </c>
    </row>
    <row r="390">
      <c r="E390" s="11">
        <f>IF($B390="","",SUMIFS($D$2:$D390,$B$2:$B390,$B390))</f>
        <v/>
      </c>
    </row>
    <row r="391">
      <c r="E391" s="11">
        <f>IF($B391="","",SUMIFS($D$2:$D391,$B$2:$B391,$B391))</f>
        <v/>
      </c>
    </row>
    <row r="392">
      <c r="E392" s="11">
        <f>IF($B392="","",SUMIFS($D$2:$D392,$B$2:$B392,$B392))</f>
        <v/>
      </c>
    </row>
    <row r="393">
      <c r="E393" s="11">
        <f>IF($B393="","",SUMIFS($D$2:$D393,$B$2:$B393,$B393))</f>
        <v/>
      </c>
    </row>
    <row r="394">
      <c r="E394" s="11">
        <f>IF($B394="","",SUMIFS($D$2:$D394,$B$2:$B394,$B394))</f>
        <v/>
      </c>
    </row>
    <row r="395">
      <c r="E395" s="11">
        <f>IF($B395="","",SUMIFS($D$2:$D395,$B$2:$B395,$B395))</f>
        <v/>
      </c>
    </row>
    <row r="396">
      <c r="E396" s="11">
        <f>IF($B396="","",SUMIFS($D$2:$D396,$B$2:$B396,$B396))</f>
        <v/>
      </c>
    </row>
    <row r="397">
      <c r="E397" s="11">
        <f>IF($B397="","",SUMIFS($D$2:$D397,$B$2:$B397,$B397))</f>
        <v/>
      </c>
    </row>
    <row r="398">
      <c r="E398" s="11">
        <f>IF($B398="","",SUMIFS($D$2:$D398,$B$2:$B398,$B398))</f>
        <v/>
      </c>
    </row>
    <row r="399">
      <c r="E399" s="11">
        <f>IF($B399="","",SUMIFS($D$2:$D399,$B$2:$B399,$B399))</f>
        <v/>
      </c>
    </row>
    <row r="400">
      <c r="E400" s="11">
        <f>IF($B400="","",SUMIFS($D$2:$D400,$B$2:$B400,$B400))</f>
        <v/>
      </c>
    </row>
    <row r="401">
      <c r="E401" s="11">
        <f>IF($B401="","",SUMIFS($D$2:$D401,$B$2:$B401,$B401))</f>
        <v/>
      </c>
    </row>
    <row r="402">
      <c r="E402" s="11">
        <f>IF($B402="","",SUMIFS($D$2:$D402,$B$2:$B402,$B402))</f>
        <v/>
      </c>
    </row>
    <row r="403">
      <c r="E403" s="11">
        <f>IF($B403="","",SUMIFS($D$2:$D403,$B$2:$B403,$B403))</f>
        <v/>
      </c>
    </row>
    <row r="404">
      <c r="E404" s="11">
        <f>IF($B404="","",SUMIFS($D$2:$D404,$B$2:$B404,$B404))</f>
        <v/>
      </c>
    </row>
    <row r="405">
      <c r="E405" s="11">
        <f>IF($B405="","",SUMIFS($D$2:$D405,$B$2:$B405,$B405))</f>
        <v/>
      </c>
    </row>
    <row r="406">
      <c r="E406" s="11">
        <f>IF($B406="","",SUMIFS($D$2:$D406,$B$2:$B406,$B406))</f>
        <v/>
      </c>
    </row>
    <row r="407">
      <c r="E407" s="11">
        <f>IF($B407="","",SUMIFS($D$2:$D407,$B$2:$B407,$B407))</f>
        <v/>
      </c>
    </row>
    <row r="408">
      <c r="E408" s="11">
        <f>IF($B408="","",SUMIFS($D$2:$D408,$B$2:$B408,$B408))</f>
        <v/>
      </c>
    </row>
    <row r="409">
      <c r="E409" s="11">
        <f>IF($B409="","",SUMIFS($D$2:$D409,$B$2:$B409,$B409))</f>
        <v/>
      </c>
    </row>
    <row r="410">
      <c r="E410" s="11">
        <f>IF($B410="","",SUMIFS($D$2:$D410,$B$2:$B410,$B410))</f>
        <v/>
      </c>
    </row>
    <row r="411">
      <c r="E411" s="11">
        <f>IF($B411="","",SUMIFS($D$2:$D411,$B$2:$B411,$B411))</f>
        <v/>
      </c>
    </row>
    <row r="412">
      <c r="E412" s="11">
        <f>IF($B412="","",SUMIFS($D$2:$D412,$B$2:$B412,$B412))</f>
        <v/>
      </c>
    </row>
    <row r="413">
      <c r="E413" s="11">
        <f>IF($B413="","",SUMIFS($D$2:$D413,$B$2:$B413,$B413))</f>
        <v/>
      </c>
    </row>
    <row r="414">
      <c r="E414" s="11">
        <f>IF($B414="","",SUMIFS($D$2:$D414,$B$2:$B414,$B414))</f>
        <v/>
      </c>
    </row>
    <row r="415">
      <c r="E415" s="11">
        <f>IF($B415="","",SUMIFS($D$2:$D415,$B$2:$B415,$B415))</f>
        <v/>
      </c>
    </row>
    <row r="416">
      <c r="E416" s="11">
        <f>IF($B416="","",SUMIFS($D$2:$D416,$B$2:$B416,$B416))</f>
        <v/>
      </c>
    </row>
    <row r="417">
      <c r="E417" s="11">
        <f>IF($B417="","",SUMIFS($D$2:$D417,$B$2:$B417,$B417))</f>
        <v/>
      </c>
    </row>
    <row r="418">
      <c r="E418" s="11">
        <f>IF($B418="","",SUMIFS($D$2:$D418,$B$2:$B418,$B418))</f>
        <v/>
      </c>
    </row>
    <row r="419">
      <c r="E419" s="11">
        <f>IF($B419="","",SUMIFS($D$2:$D419,$B$2:$B419,$B419))</f>
        <v/>
      </c>
    </row>
    <row r="420">
      <c r="E420" s="11">
        <f>IF($B420="","",SUMIFS($D$2:$D420,$B$2:$B420,$B420))</f>
        <v/>
      </c>
    </row>
    <row r="421">
      <c r="E421" s="11">
        <f>IF($B421="","",SUMIFS($D$2:$D421,$B$2:$B421,$B421))</f>
        <v/>
      </c>
    </row>
    <row r="422">
      <c r="E422" s="11">
        <f>IF($B422="","",SUMIFS($D$2:$D422,$B$2:$B422,$B422))</f>
        <v/>
      </c>
    </row>
    <row r="423">
      <c r="E423" s="11">
        <f>IF($B423="","",SUMIFS($D$2:$D423,$B$2:$B423,$B423))</f>
        <v/>
      </c>
    </row>
    <row r="424">
      <c r="E424" s="11">
        <f>IF($B424="","",SUMIFS($D$2:$D424,$B$2:$B424,$B424))</f>
        <v/>
      </c>
    </row>
    <row r="425">
      <c r="E425" s="11">
        <f>IF($B425="","",SUMIFS($D$2:$D425,$B$2:$B425,$B425))</f>
        <v/>
      </c>
    </row>
    <row r="426">
      <c r="E426" s="11">
        <f>IF($B426="","",SUMIFS($D$2:$D426,$B$2:$B426,$B426))</f>
        <v/>
      </c>
    </row>
    <row r="427">
      <c r="E427" s="11">
        <f>IF($B427="","",SUMIFS($D$2:$D427,$B$2:$B427,$B427))</f>
        <v/>
      </c>
    </row>
    <row r="428">
      <c r="E428" s="11">
        <f>IF($B428="","",SUMIFS($D$2:$D428,$B$2:$B428,$B428))</f>
        <v/>
      </c>
    </row>
    <row r="429">
      <c r="E429" s="11">
        <f>IF($B429="","",SUMIFS($D$2:$D429,$B$2:$B429,$B429))</f>
        <v/>
      </c>
    </row>
    <row r="430">
      <c r="E430" s="11">
        <f>IF($B430="","",SUMIFS($D$2:$D430,$B$2:$B430,$B430))</f>
        <v/>
      </c>
    </row>
    <row r="431">
      <c r="E431" s="11">
        <f>IF($B431="","",SUMIFS($D$2:$D431,$B$2:$B431,$B431))</f>
        <v/>
      </c>
    </row>
    <row r="432">
      <c r="E432" s="11">
        <f>IF($B432="","",SUMIFS($D$2:$D432,$B$2:$B432,$B432))</f>
        <v/>
      </c>
    </row>
    <row r="433">
      <c r="E433" s="11">
        <f>IF($B433="","",SUMIFS($D$2:$D433,$B$2:$B433,$B433))</f>
        <v/>
      </c>
    </row>
    <row r="434">
      <c r="E434" s="11">
        <f>IF($B434="","",SUMIFS($D$2:$D434,$B$2:$B434,$B434))</f>
        <v/>
      </c>
    </row>
    <row r="435">
      <c r="E435" s="11">
        <f>IF($B435="","",SUMIFS($D$2:$D435,$B$2:$B435,$B435))</f>
        <v/>
      </c>
    </row>
    <row r="436">
      <c r="E436" s="11">
        <f>IF($B436="","",SUMIFS($D$2:$D436,$B$2:$B436,$B436))</f>
        <v/>
      </c>
    </row>
    <row r="437">
      <c r="E437" s="11">
        <f>IF($B437="","",SUMIFS($D$2:$D437,$B$2:$B437,$B437))</f>
        <v/>
      </c>
    </row>
    <row r="438">
      <c r="E438" s="11">
        <f>IF($B438="","",SUMIFS($D$2:$D438,$B$2:$B438,$B438))</f>
        <v/>
      </c>
    </row>
    <row r="439">
      <c r="E439" s="11">
        <f>IF($B439="","",SUMIFS($D$2:$D439,$B$2:$B439,$B439))</f>
        <v/>
      </c>
    </row>
    <row r="440">
      <c r="E440" s="11">
        <f>IF($B440="","",SUMIFS($D$2:$D440,$B$2:$B440,$B440))</f>
        <v/>
      </c>
    </row>
    <row r="441">
      <c r="E441" s="11">
        <f>IF($B441="","",SUMIFS($D$2:$D441,$B$2:$B441,$B441))</f>
        <v/>
      </c>
    </row>
    <row r="442">
      <c r="E442" s="11">
        <f>IF($B442="","",SUMIFS($D$2:$D442,$B$2:$B442,$B442))</f>
        <v/>
      </c>
    </row>
    <row r="443">
      <c r="E443" s="11">
        <f>IF($B443="","",SUMIFS($D$2:$D443,$B$2:$B443,$B443))</f>
        <v/>
      </c>
    </row>
    <row r="444">
      <c r="E444" s="11">
        <f>IF($B444="","",SUMIFS($D$2:$D444,$B$2:$B444,$B444))</f>
        <v/>
      </c>
    </row>
    <row r="445">
      <c r="E445" s="11">
        <f>IF($B445="","",SUMIFS($D$2:$D445,$B$2:$B445,$B445))</f>
        <v/>
      </c>
    </row>
    <row r="446">
      <c r="E446" s="11">
        <f>IF($B446="","",SUMIFS($D$2:$D446,$B$2:$B446,$B446))</f>
        <v/>
      </c>
    </row>
    <row r="447">
      <c r="E447" s="11">
        <f>IF($B447="","",SUMIFS($D$2:$D447,$B$2:$B447,$B447))</f>
        <v/>
      </c>
    </row>
    <row r="448">
      <c r="E448" s="11">
        <f>IF($B448="","",SUMIFS($D$2:$D448,$B$2:$B448,$B448))</f>
        <v/>
      </c>
    </row>
    <row r="449">
      <c r="E449" s="11">
        <f>IF($B449="","",SUMIFS($D$2:$D449,$B$2:$B449,$B449))</f>
        <v/>
      </c>
    </row>
    <row r="450">
      <c r="E450" s="11">
        <f>IF($B450="","",SUMIFS($D$2:$D450,$B$2:$B450,$B450))</f>
        <v/>
      </c>
    </row>
    <row r="451">
      <c r="E451" s="11">
        <f>IF($B451="","",SUMIFS($D$2:$D451,$B$2:$B451,$B451))</f>
        <v/>
      </c>
    </row>
    <row r="452">
      <c r="E452" s="11">
        <f>IF($B452="","",SUMIFS($D$2:$D452,$B$2:$B452,$B452))</f>
        <v/>
      </c>
    </row>
    <row r="453">
      <c r="E453" s="11">
        <f>IF($B453="","",SUMIFS($D$2:$D453,$B$2:$B453,$B453))</f>
        <v/>
      </c>
    </row>
    <row r="454">
      <c r="E454" s="11">
        <f>IF($B454="","",SUMIFS($D$2:$D454,$B$2:$B454,$B454))</f>
        <v/>
      </c>
    </row>
    <row r="455">
      <c r="E455" s="11">
        <f>IF($B455="","",SUMIFS($D$2:$D455,$B$2:$B455,$B455))</f>
        <v/>
      </c>
    </row>
    <row r="456">
      <c r="E456" s="11">
        <f>IF($B456="","",SUMIFS($D$2:$D456,$B$2:$B456,$B456))</f>
        <v/>
      </c>
    </row>
    <row r="457">
      <c r="E457" s="11">
        <f>IF($B457="","",SUMIFS($D$2:$D457,$B$2:$B457,$B457))</f>
        <v/>
      </c>
    </row>
    <row r="458">
      <c r="E458" s="11">
        <f>IF($B458="","",SUMIFS($D$2:$D458,$B$2:$B458,$B458))</f>
        <v/>
      </c>
    </row>
    <row r="459">
      <c r="E459" s="11">
        <f>IF($B459="","",SUMIFS($D$2:$D459,$B$2:$B459,$B459))</f>
        <v/>
      </c>
    </row>
    <row r="460">
      <c r="E460" s="11">
        <f>IF($B460="","",SUMIFS($D$2:$D460,$B$2:$B460,$B460))</f>
        <v/>
      </c>
    </row>
    <row r="461">
      <c r="E461" s="11">
        <f>IF($B461="","",SUMIFS($D$2:$D461,$B$2:$B461,$B461))</f>
        <v/>
      </c>
    </row>
    <row r="462">
      <c r="E462" s="11">
        <f>IF($B462="","",SUMIFS($D$2:$D462,$B$2:$B462,$B462))</f>
        <v/>
      </c>
    </row>
    <row r="463">
      <c r="E463" s="11">
        <f>IF($B463="","",SUMIFS($D$2:$D463,$B$2:$B463,$B463))</f>
        <v/>
      </c>
    </row>
    <row r="464">
      <c r="E464" s="11">
        <f>IF($B464="","",SUMIFS($D$2:$D464,$B$2:$B464,$B464))</f>
        <v/>
      </c>
    </row>
    <row r="465">
      <c r="E465" s="11">
        <f>IF($B465="","",SUMIFS($D$2:$D465,$B$2:$B465,$B465))</f>
        <v/>
      </c>
    </row>
    <row r="466">
      <c r="E466" s="11">
        <f>IF($B466="","",SUMIFS($D$2:$D466,$B$2:$B466,$B466))</f>
        <v/>
      </c>
    </row>
    <row r="467">
      <c r="E467" s="11">
        <f>IF($B467="","",SUMIFS($D$2:$D467,$B$2:$B467,$B467))</f>
        <v/>
      </c>
    </row>
    <row r="468">
      <c r="E468" s="11">
        <f>IF($B468="","",SUMIFS($D$2:$D468,$B$2:$B468,$B468))</f>
        <v/>
      </c>
    </row>
    <row r="469">
      <c r="E469" s="11">
        <f>IF($B469="","",SUMIFS($D$2:$D469,$B$2:$B469,$B469))</f>
        <v/>
      </c>
    </row>
    <row r="470">
      <c r="E470" s="11">
        <f>IF($B470="","",SUMIFS($D$2:$D470,$B$2:$B470,$B470))</f>
        <v/>
      </c>
    </row>
    <row r="471">
      <c r="E471" s="11">
        <f>IF($B471="","",SUMIFS($D$2:$D471,$B$2:$B471,$B471))</f>
        <v/>
      </c>
    </row>
    <row r="472">
      <c r="E472" s="11">
        <f>IF($B472="","",SUMIFS($D$2:$D472,$B$2:$B472,$B472))</f>
        <v/>
      </c>
    </row>
    <row r="473">
      <c r="E473" s="11">
        <f>IF($B473="","",SUMIFS($D$2:$D473,$B$2:$B473,$B473))</f>
        <v/>
      </c>
    </row>
    <row r="474">
      <c r="E474" s="11">
        <f>IF($B474="","",SUMIFS($D$2:$D474,$B$2:$B474,$B474))</f>
        <v/>
      </c>
    </row>
    <row r="475">
      <c r="E475" s="11">
        <f>IF($B475="","",SUMIFS($D$2:$D475,$B$2:$B475,$B475))</f>
        <v/>
      </c>
    </row>
    <row r="476">
      <c r="E476" s="11">
        <f>IF($B476="","",SUMIFS($D$2:$D476,$B$2:$B476,$B476))</f>
        <v/>
      </c>
    </row>
    <row r="477">
      <c r="E477" s="11">
        <f>IF($B477="","",SUMIFS($D$2:$D477,$B$2:$B477,$B477))</f>
        <v/>
      </c>
    </row>
    <row r="478">
      <c r="E478" s="11">
        <f>IF($B478="","",SUMIFS($D$2:$D478,$B$2:$B478,$B478))</f>
        <v/>
      </c>
    </row>
    <row r="479">
      <c r="E479" s="11">
        <f>IF($B479="","",SUMIFS($D$2:$D479,$B$2:$B479,$B479))</f>
        <v/>
      </c>
    </row>
    <row r="480">
      <c r="E480" s="11">
        <f>IF($B480="","",SUMIFS($D$2:$D480,$B$2:$B480,$B480))</f>
        <v/>
      </c>
    </row>
    <row r="481">
      <c r="E481" s="11">
        <f>IF($B481="","",SUMIFS($D$2:$D481,$B$2:$B481,$B481))</f>
        <v/>
      </c>
    </row>
    <row r="482">
      <c r="E482" s="11">
        <f>IF($B482="","",SUMIFS($D$2:$D482,$B$2:$B482,$B482))</f>
        <v/>
      </c>
    </row>
    <row r="483">
      <c r="E483" s="11">
        <f>IF($B483="","",SUMIFS($D$2:$D483,$B$2:$B483,$B483))</f>
        <v/>
      </c>
    </row>
    <row r="484">
      <c r="E484" s="11">
        <f>IF($B484="","",SUMIFS($D$2:$D484,$B$2:$B484,$B484))</f>
        <v/>
      </c>
    </row>
    <row r="485">
      <c r="E485" s="11">
        <f>IF($B485="","",SUMIFS($D$2:$D485,$B$2:$B485,$B485))</f>
        <v/>
      </c>
    </row>
    <row r="486">
      <c r="E486" s="11">
        <f>IF($B486="","",SUMIFS($D$2:$D486,$B$2:$B486,$B486))</f>
        <v/>
      </c>
    </row>
    <row r="487">
      <c r="E487" s="11">
        <f>IF($B487="","",SUMIFS($D$2:$D487,$B$2:$B487,$B487))</f>
        <v/>
      </c>
    </row>
    <row r="488">
      <c r="E488" s="11">
        <f>IF($B488="","",SUMIFS($D$2:$D488,$B$2:$B488,$B488))</f>
        <v/>
      </c>
    </row>
    <row r="489">
      <c r="E489" s="11">
        <f>IF($B489="","",SUMIFS($D$2:$D489,$B$2:$B489,$B489))</f>
        <v/>
      </c>
    </row>
    <row r="490">
      <c r="E490" s="11">
        <f>IF($B490="","",SUMIFS($D$2:$D490,$B$2:$B490,$B490))</f>
        <v/>
      </c>
    </row>
    <row r="491">
      <c r="E491" s="11">
        <f>IF($B491="","",SUMIFS($D$2:$D491,$B$2:$B491,$B491))</f>
        <v/>
      </c>
    </row>
    <row r="492">
      <c r="E492" s="11">
        <f>IF($B492="","",SUMIFS($D$2:$D492,$B$2:$B492,$B492))</f>
        <v/>
      </c>
    </row>
    <row r="493">
      <c r="E493" s="11">
        <f>IF($B493="","",SUMIFS($D$2:$D493,$B$2:$B493,$B493))</f>
        <v/>
      </c>
    </row>
    <row r="494">
      <c r="E494" s="11">
        <f>IF($B494="","",SUMIFS($D$2:$D494,$B$2:$B494,$B494))</f>
        <v/>
      </c>
    </row>
    <row r="495">
      <c r="E495" s="11">
        <f>IF($B495="","",SUMIFS($D$2:$D495,$B$2:$B495,$B495))</f>
        <v/>
      </c>
    </row>
    <row r="496">
      <c r="E496" s="11">
        <f>IF($B496="","",SUMIFS($D$2:$D496,$B$2:$B496,$B496))</f>
        <v/>
      </c>
    </row>
    <row r="497">
      <c r="E497" s="11">
        <f>IF($B497="","",SUMIFS($D$2:$D497,$B$2:$B497,$B497))</f>
        <v/>
      </c>
    </row>
    <row r="498">
      <c r="E498" s="11">
        <f>IF($B498="","",SUMIFS($D$2:$D498,$B$2:$B498,$B498))</f>
        <v/>
      </c>
    </row>
    <row r="499">
      <c r="E499" s="11">
        <f>IF($B499="","",SUMIFS($D$2:$D499,$B$2:$B499,$B499))</f>
        <v/>
      </c>
    </row>
    <row r="500">
      <c r="E500" s="11">
        <f>IF($B500="","",SUMIFS($D$2:$D500,$B$2:$B500,$B500))</f>
        <v/>
      </c>
    </row>
    <row r="501">
      <c r="E501" s="11">
        <f>IF($B501="","",SUMIFS($D$2:$D501,$B$2:$B501,$B501))</f>
        <v/>
      </c>
    </row>
    <row r="502">
      <c r="E502" s="11">
        <f>IF($B502="","",SUMIFS($D$2:$D502,$B$2:$B502,$B502))</f>
        <v/>
      </c>
    </row>
    <row r="503">
      <c r="E503" s="11">
        <f>IF($B503="","",SUMIFS($D$2:$D503,$B$2:$B503,$B503))</f>
        <v/>
      </c>
    </row>
    <row r="504">
      <c r="E504" s="11">
        <f>IF($B504="","",SUMIFS($D$2:$D504,$B$2:$B504,$B504))</f>
        <v/>
      </c>
    </row>
    <row r="505">
      <c r="E505" s="11">
        <f>IF($B505="","",SUMIFS($D$2:$D505,$B$2:$B505,$B505))</f>
        <v/>
      </c>
    </row>
    <row r="506">
      <c r="E506" s="11">
        <f>IF($B506="","",SUMIFS($D$2:$D506,$B$2:$B506,$B506))</f>
        <v/>
      </c>
    </row>
    <row r="507">
      <c r="E507" s="11">
        <f>IF($B507="","",SUMIFS($D$2:$D507,$B$2:$B507,$B507))</f>
        <v/>
      </c>
    </row>
    <row r="508">
      <c r="E508" s="11">
        <f>IF($B508="","",SUMIFS($D$2:$D508,$B$2:$B508,$B508))</f>
        <v/>
      </c>
    </row>
    <row r="509">
      <c r="E509" s="11">
        <f>IF($B509="","",SUMIFS($D$2:$D509,$B$2:$B509,$B509))</f>
        <v/>
      </c>
    </row>
    <row r="510">
      <c r="E510" s="11">
        <f>IF($B510="","",SUMIFS($D$2:$D510,$B$2:$B510,$B510))</f>
        <v/>
      </c>
    </row>
    <row r="511">
      <c r="E511" s="11">
        <f>IF($B511="","",SUMIFS($D$2:$D511,$B$2:$B511,$B511))</f>
        <v/>
      </c>
    </row>
    <row r="512">
      <c r="E512" s="11">
        <f>IF($B512="","",SUMIFS($D$2:$D512,$B$2:$B512,$B512))</f>
        <v/>
      </c>
    </row>
    <row r="513">
      <c r="E513" s="11">
        <f>IF($B513="","",SUMIFS($D$2:$D513,$B$2:$B513,$B513))</f>
        <v/>
      </c>
    </row>
    <row r="514">
      <c r="E514" s="11">
        <f>IF($B514="","",SUMIFS($D$2:$D514,$B$2:$B514,$B514))</f>
        <v/>
      </c>
    </row>
    <row r="515">
      <c r="E515" s="11">
        <f>IF($B515="","",SUMIFS($D$2:$D515,$B$2:$B515,$B515))</f>
        <v/>
      </c>
    </row>
    <row r="516">
      <c r="E516" s="11">
        <f>IF($B516="","",SUMIFS($D$2:$D516,$B$2:$B516,$B516))</f>
        <v/>
      </c>
    </row>
    <row r="517">
      <c r="E517" s="11">
        <f>IF($B517="","",SUMIFS($D$2:$D517,$B$2:$B517,$B517))</f>
        <v/>
      </c>
    </row>
    <row r="518">
      <c r="E518" s="11">
        <f>IF($B518="","",SUMIFS($D$2:$D518,$B$2:$B518,$B518))</f>
        <v/>
      </c>
    </row>
    <row r="519">
      <c r="E519" s="11">
        <f>IF($B519="","",SUMIFS($D$2:$D519,$B$2:$B519,$B519))</f>
        <v/>
      </c>
    </row>
    <row r="520">
      <c r="E520" s="11">
        <f>IF($B520="","",SUMIFS($D$2:$D520,$B$2:$B520,$B520))</f>
        <v/>
      </c>
    </row>
    <row r="521">
      <c r="E521" s="11">
        <f>IF($B521="","",SUMIFS($D$2:$D521,$B$2:$B521,$B521))</f>
        <v/>
      </c>
    </row>
    <row r="522">
      <c r="E522" s="11">
        <f>IF($B522="","",SUMIFS($D$2:$D522,$B$2:$B522,$B522))</f>
        <v/>
      </c>
    </row>
    <row r="523">
      <c r="E523" s="11">
        <f>IF($B523="","",SUMIFS($D$2:$D523,$B$2:$B523,$B523))</f>
        <v/>
      </c>
    </row>
    <row r="524">
      <c r="E524" s="11">
        <f>IF($B524="","",SUMIFS($D$2:$D524,$B$2:$B524,$B524))</f>
        <v/>
      </c>
    </row>
    <row r="525">
      <c r="E525" s="11">
        <f>IF($B525="","",SUMIFS($D$2:$D525,$B$2:$B525,$B525))</f>
        <v/>
      </c>
    </row>
    <row r="526">
      <c r="E526" s="11">
        <f>IF($B526="","",SUMIFS($D$2:$D526,$B$2:$B526,$B526))</f>
        <v/>
      </c>
    </row>
    <row r="527">
      <c r="E527" s="11">
        <f>IF($B527="","",SUMIFS($D$2:$D527,$B$2:$B527,$B527))</f>
        <v/>
      </c>
    </row>
    <row r="528">
      <c r="E528" s="11">
        <f>IF($B528="","",SUMIFS($D$2:$D528,$B$2:$B528,$B528))</f>
        <v/>
      </c>
    </row>
    <row r="529">
      <c r="E529" s="11">
        <f>IF($B529="","",SUMIFS($D$2:$D529,$B$2:$B529,$B529))</f>
        <v/>
      </c>
    </row>
    <row r="530">
      <c r="E530" s="11">
        <f>IF($B530="","",SUMIFS($D$2:$D530,$B$2:$B530,$B530))</f>
        <v/>
      </c>
    </row>
    <row r="531">
      <c r="E531" s="11">
        <f>IF($B531="","",SUMIFS($D$2:$D531,$B$2:$B531,$B531))</f>
        <v/>
      </c>
    </row>
    <row r="532">
      <c r="E532" s="11">
        <f>IF($B532="","",SUMIFS($D$2:$D532,$B$2:$B532,$B532))</f>
        <v/>
      </c>
    </row>
    <row r="533">
      <c r="E533" s="11">
        <f>IF($B533="","",SUMIFS($D$2:$D533,$B$2:$B533,$B533))</f>
        <v/>
      </c>
    </row>
    <row r="534">
      <c r="E534" s="11">
        <f>IF($B534="","",SUMIFS($D$2:$D534,$B$2:$B534,$B534))</f>
        <v/>
      </c>
    </row>
    <row r="535">
      <c r="E535" s="11">
        <f>IF($B535="","",SUMIFS($D$2:$D535,$B$2:$B535,$B535))</f>
        <v/>
      </c>
    </row>
    <row r="536">
      <c r="E536" s="11">
        <f>IF($B536="","",SUMIFS($D$2:$D536,$B$2:$B536,$B536))</f>
        <v/>
      </c>
    </row>
    <row r="537">
      <c r="E537" s="11">
        <f>IF($B537="","",SUMIFS($D$2:$D537,$B$2:$B537,$B537))</f>
        <v/>
      </c>
    </row>
    <row r="538">
      <c r="E538" s="11">
        <f>IF($B538="","",SUMIFS($D$2:$D538,$B$2:$B538,$B538))</f>
        <v/>
      </c>
    </row>
    <row r="539">
      <c r="E539" s="11">
        <f>IF($B539="","",SUMIFS($D$2:$D539,$B$2:$B539,$B539))</f>
        <v/>
      </c>
    </row>
    <row r="540">
      <c r="E540" s="11">
        <f>IF($B540="","",SUMIFS($D$2:$D540,$B$2:$B540,$B540))</f>
        <v/>
      </c>
    </row>
    <row r="541">
      <c r="E541" s="11">
        <f>IF($B541="","",SUMIFS($D$2:$D541,$B$2:$B541,$B541))</f>
        <v/>
      </c>
    </row>
    <row r="542">
      <c r="E542" s="11">
        <f>IF($B542="","",SUMIFS($D$2:$D542,$B$2:$B542,$B542))</f>
        <v/>
      </c>
    </row>
    <row r="543">
      <c r="E543" s="11">
        <f>IF($B543="","",SUMIFS($D$2:$D543,$B$2:$B543,$B543))</f>
        <v/>
      </c>
    </row>
    <row r="544">
      <c r="E544" s="11">
        <f>IF($B544="","",SUMIFS($D$2:$D544,$B$2:$B544,$B544))</f>
        <v/>
      </c>
    </row>
    <row r="545">
      <c r="E545" s="11">
        <f>IF($B545="","",SUMIFS($D$2:$D545,$B$2:$B545,$B545))</f>
        <v/>
      </c>
    </row>
    <row r="546">
      <c r="E546" s="11">
        <f>IF($B546="","",SUMIFS($D$2:$D546,$B$2:$B546,$B546))</f>
        <v/>
      </c>
    </row>
    <row r="547">
      <c r="E547" s="11">
        <f>IF($B547="","",SUMIFS($D$2:$D547,$B$2:$B547,$B547))</f>
        <v/>
      </c>
    </row>
    <row r="548">
      <c r="E548" s="11">
        <f>IF($B548="","",SUMIFS($D$2:$D548,$B$2:$B548,$B548))</f>
        <v/>
      </c>
    </row>
    <row r="549">
      <c r="E549" s="11">
        <f>IF($B549="","",SUMIFS($D$2:$D549,$B$2:$B549,$B549))</f>
        <v/>
      </c>
    </row>
    <row r="550">
      <c r="E550" s="11">
        <f>IF($B550="","",SUMIFS($D$2:$D550,$B$2:$B550,$B550))</f>
        <v/>
      </c>
    </row>
    <row r="551">
      <c r="E551" s="11">
        <f>IF($B551="","",SUMIFS($D$2:$D551,$B$2:$B551,$B551))</f>
        <v/>
      </c>
    </row>
    <row r="552">
      <c r="E552" s="11">
        <f>IF($B552="","",SUMIFS($D$2:$D552,$B$2:$B552,$B552))</f>
        <v/>
      </c>
    </row>
    <row r="553">
      <c r="E553" s="11">
        <f>IF($B553="","",SUMIFS($D$2:$D553,$B$2:$B553,$B553))</f>
        <v/>
      </c>
    </row>
    <row r="554">
      <c r="E554" s="11">
        <f>IF($B554="","",SUMIFS($D$2:$D554,$B$2:$B554,$B554))</f>
        <v/>
      </c>
    </row>
    <row r="555">
      <c r="E555" s="11">
        <f>IF($B555="","",SUMIFS($D$2:$D555,$B$2:$B555,$B555))</f>
        <v/>
      </c>
    </row>
    <row r="556">
      <c r="E556" s="11">
        <f>IF($B556="","",SUMIFS($D$2:$D556,$B$2:$B556,$B556))</f>
        <v/>
      </c>
    </row>
    <row r="557">
      <c r="E557" s="11">
        <f>IF($B557="","",SUMIFS($D$2:$D557,$B$2:$B557,$B557))</f>
        <v/>
      </c>
    </row>
    <row r="558">
      <c r="E558" s="11">
        <f>IF($B558="","",SUMIFS($D$2:$D558,$B$2:$B558,$B558))</f>
        <v/>
      </c>
    </row>
    <row r="559">
      <c r="E559" s="11">
        <f>IF($B559="","",SUMIFS($D$2:$D559,$B$2:$B559,$B559))</f>
        <v/>
      </c>
    </row>
    <row r="560">
      <c r="E560" s="11">
        <f>IF($B560="","",SUMIFS($D$2:$D560,$B$2:$B560,$B560))</f>
        <v/>
      </c>
    </row>
    <row r="561">
      <c r="E561" s="11">
        <f>IF($B561="","",SUMIFS($D$2:$D561,$B$2:$B561,$B561))</f>
        <v/>
      </c>
    </row>
    <row r="562">
      <c r="E562" s="11">
        <f>IF($B562="","",SUMIFS($D$2:$D562,$B$2:$B562,$B562))</f>
        <v/>
      </c>
    </row>
    <row r="563">
      <c r="E563" s="11">
        <f>IF($B563="","",SUMIFS($D$2:$D563,$B$2:$B563,$B563))</f>
        <v/>
      </c>
    </row>
    <row r="564">
      <c r="E564" s="11">
        <f>IF($B564="","",SUMIFS($D$2:$D564,$B$2:$B564,$B564))</f>
        <v/>
      </c>
    </row>
    <row r="565">
      <c r="E565" s="11">
        <f>IF($B565="","",SUMIFS($D$2:$D565,$B$2:$B565,$B565))</f>
        <v/>
      </c>
    </row>
    <row r="566">
      <c r="E566" s="11">
        <f>IF($B566="","",SUMIFS($D$2:$D566,$B$2:$B566,$B566))</f>
        <v/>
      </c>
    </row>
    <row r="567">
      <c r="E567" s="11">
        <f>IF($B567="","",SUMIFS($D$2:$D567,$B$2:$B567,$B567))</f>
        <v/>
      </c>
    </row>
    <row r="568">
      <c r="E568" s="11">
        <f>IF($B568="","",SUMIFS($D$2:$D568,$B$2:$B568,$B568))</f>
        <v/>
      </c>
    </row>
    <row r="569">
      <c r="E569" s="11">
        <f>IF($B569="","",SUMIFS($D$2:$D569,$B$2:$B569,$B569))</f>
        <v/>
      </c>
    </row>
    <row r="570">
      <c r="E570" s="11">
        <f>IF($B570="","",SUMIFS($D$2:$D570,$B$2:$B570,$B570))</f>
        <v/>
      </c>
    </row>
    <row r="571">
      <c r="E571" s="11">
        <f>IF($B571="","",SUMIFS($D$2:$D571,$B$2:$B571,$B571))</f>
        <v/>
      </c>
    </row>
    <row r="572">
      <c r="E572" s="11">
        <f>IF($B572="","",SUMIFS($D$2:$D572,$B$2:$B572,$B572))</f>
        <v/>
      </c>
    </row>
    <row r="573">
      <c r="E573" s="11">
        <f>IF($B573="","",SUMIFS($D$2:$D573,$B$2:$B573,$B573))</f>
        <v/>
      </c>
    </row>
    <row r="574">
      <c r="E574" s="11">
        <f>IF($B574="","",SUMIFS($D$2:$D574,$B$2:$B574,$B574))</f>
        <v/>
      </c>
    </row>
    <row r="575">
      <c r="E575" s="11">
        <f>IF($B575="","",SUMIFS($D$2:$D575,$B$2:$B575,$B575))</f>
        <v/>
      </c>
    </row>
    <row r="576">
      <c r="E576" s="11">
        <f>IF($B576="","",SUMIFS($D$2:$D576,$B$2:$B576,$B576))</f>
        <v/>
      </c>
    </row>
    <row r="577">
      <c r="E577" s="11">
        <f>IF($B577="","",SUMIFS($D$2:$D577,$B$2:$B577,$B577))</f>
        <v/>
      </c>
    </row>
    <row r="578">
      <c r="E578" s="11">
        <f>IF($B578="","",SUMIFS($D$2:$D578,$B$2:$B578,$B578))</f>
        <v/>
      </c>
    </row>
    <row r="579">
      <c r="E579" s="11">
        <f>IF($B579="","",SUMIFS($D$2:$D579,$B$2:$B579,$B579))</f>
        <v/>
      </c>
    </row>
    <row r="580">
      <c r="E580" s="11">
        <f>IF($B580="","",SUMIFS($D$2:$D580,$B$2:$B580,$B580))</f>
        <v/>
      </c>
    </row>
    <row r="581">
      <c r="E581" s="11">
        <f>IF($B581="","",SUMIFS($D$2:$D581,$B$2:$B581,$B581))</f>
        <v/>
      </c>
    </row>
    <row r="582">
      <c r="E582" s="11">
        <f>IF($B582="","",SUMIFS($D$2:$D582,$B$2:$B582,$B582))</f>
        <v/>
      </c>
    </row>
    <row r="583">
      <c r="E583" s="11">
        <f>IF($B583="","",SUMIFS($D$2:$D583,$B$2:$B583,$B583))</f>
        <v/>
      </c>
    </row>
    <row r="584">
      <c r="E584" s="11">
        <f>IF($B584="","",SUMIFS($D$2:$D584,$B$2:$B584,$B584))</f>
        <v/>
      </c>
    </row>
    <row r="585">
      <c r="E585" s="11">
        <f>IF($B585="","",SUMIFS($D$2:$D585,$B$2:$B585,$B585))</f>
        <v/>
      </c>
    </row>
    <row r="586">
      <c r="E586" s="11">
        <f>IF($B586="","",SUMIFS($D$2:$D586,$B$2:$B586,$B586))</f>
        <v/>
      </c>
    </row>
    <row r="587">
      <c r="E587" s="11">
        <f>IF($B587="","",SUMIFS($D$2:$D587,$B$2:$B587,$B587))</f>
        <v/>
      </c>
    </row>
    <row r="588">
      <c r="E588" s="11">
        <f>IF($B588="","",SUMIFS($D$2:$D588,$B$2:$B588,$B588))</f>
        <v/>
      </c>
    </row>
    <row r="589">
      <c r="E589" s="11">
        <f>IF($B589="","",SUMIFS($D$2:$D589,$B$2:$B589,$B589))</f>
        <v/>
      </c>
    </row>
    <row r="590">
      <c r="E590" s="11">
        <f>IF($B590="","",SUMIFS($D$2:$D590,$B$2:$B590,$B590))</f>
        <v/>
      </c>
    </row>
    <row r="591">
      <c r="E591" s="11">
        <f>IF($B591="","",SUMIFS($D$2:$D591,$B$2:$B591,$B591))</f>
        <v/>
      </c>
    </row>
    <row r="592">
      <c r="E592" s="11">
        <f>IF($B592="","",SUMIFS($D$2:$D592,$B$2:$B592,$B592))</f>
        <v/>
      </c>
    </row>
    <row r="593">
      <c r="E593" s="11">
        <f>IF($B593="","",SUMIFS($D$2:$D593,$B$2:$B593,$B593))</f>
        <v/>
      </c>
    </row>
    <row r="594">
      <c r="E594" s="11">
        <f>IF($B594="","",SUMIFS($D$2:$D594,$B$2:$B594,$B594))</f>
        <v/>
      </c>
    </row>
    <row r="595">
      <c r="E595" s="11">
        <f>IF($B595="","",SUMIFS($D$2:$D595,$B$2:$B595,$B595))</f>
        <v/>
      </c>
    </row>
    <row r="596">
      <c r="E596" s="11">
        <f>IF($B596="","",SUMIFS($D$2:$D596,$B$2:$B596,$B596))</f>
        <v/>
      </c>
    </row>
    <row r="597">
      <c r="E597" s="11">
        <f>IF($B597="","",SUMIFS($D$2:$D597,$B$2:$B597,$B597))</f>
        <v/>
      </c>
    </row>
    <row r="598">
      <c r="E598" s="11">
        <f>IF($B598="","",SUMIFS($D$2:$D598,$B$2:$B598,$B598))</f>
        <v/>
      </c>
    </row>
    <row r="599">
      <c r="E599" s="11">
        <f>IF($B599="","",SUMIFS($D$2:$D599,$B$2:$B599,$B599))</f>
        <v/>
      </c>
    </row>
    <row r="600">
      <c r="E600" s="11">
        <f>IF($B600="","",SUMIFS($D$2:$D600,$B$2:$B600,$B600))</f>
        <v/>
      </c>
    </row>
  </sheetData>
  <autoFilter ref="A1:G600"/>
  <dataValidations count="1">
    <dataValidation sqref="C2:C600" showDropDown="0" showInputMessage="0" showErrorMessage="0" allowBlank="1" type="list">
      <formula1>Lists!$I$2:$I$10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8" customWidth="1" min="4" max="4"/>
    <col width="14" customWidth="1" min="5" max="5"/>
    <col width="16" customWidth="1" min="6" max="6"/>
    <col width="6" customWidth="1" min="7" max="7"/>
    <col width="13" customWidth="1" min="8" max="8"/>
    <col width="15" customWidth="1" min="9" max="9"/>
    <col width="12" customWidth="1" min="10" max="10"/>
    <col width="14" customWidth="1" min="11" max="11"/>
    <col width="11" customWidth="1" min="12" max="12"/>
    <col width="12" customWidth="1" min="13" max="13"/>
    <col width="40" customWidth="1" min="14" max="14"/>
  </cols>
  <sheetData>
    <row r="1">
      <c r="A1" s="12" t="inlineStr">
        <is>
          <t>Order Date</t>
        </is>
      </c>
      <c r="B1" s="12" t="inlineStr">
        <is>
          <t>Order No.</t>
        </is>
      </c>
      <c r="C1" s="12" t="inlineStr">
        <is>
          <t>Channel</t>
        </is>
      </c>
      <c r="D1" s="12" t="inlineStr">
        <is>
          <t>Customer</t>
        </is>
      </c>
      <c r="E1" s="12" t="inlineStr">
        <is>
          <t>City / Country</t>
        </is>
      </c>
      <c r="F1" s="12" t="inlineStr">
        <is>
          <t>Product ID</t>
        </is>
      </c>
      <c r="G1" s="12" t="inlineStr">
        <is>
          <t>Qty</t>
        </is>
      </c>
      <c r="H1" s="12" t="inlineStr">
        <is>
          <t>Order Value (₹)</t>
        </is>
      </c>
      <c r="I1" s="12" t="inlineStr">
        <is>
          <t>Payment</t>
        </is>
      </c>
      <c r="J1" s="12" t="inlineStr">
        <is>
          <t>Fulfilment</t>
        </is>
      </c>
      <c r="K1" s="12" t="inlineStr">
        <is>
          <t>Return Status</t>
        </is>
      </c>
      <c r="L1" s="12" t="inlineStr">
        <is>
          <t>Refund (₹)</t>
        </is>
      </c>
      <c r="M1" s="12" t="inlineStr">
        <is>
          <t>Refund Date</t>
        </is>
      </c>
      <c r="N1" s="12" t="inlineStr">
        <is>
          <t>Notes</t>
        </is>
      </c>
    </row>
    <row r="2">
      <c r="A2" s="7" t="inlineStr">
        <is>
          <t>2026-08-02</t>
        </is>
      </c>
      <c r="B2" s="2" t="inlineStr">
        <is>
          <t>ORD-8H2K</t>
        </is>
      </c>
      <c r="C2" s="2" t="inlineStr">
        <is>
          <t>Website - COD</t>
        </is>
      </c>
      <c r="D2" s="2" t="inlineStr">
        <is>
          <t>Customer 1</t>
        </is>
      </c>
      <c r="E2" s="2" t="inlineStr">
        <is>
          <t>Hyderabad</t>
        </is>
      </c>
      <c r="F2" s="2" t="inlineStr">
        <is>
          <t>6343</t>
        </is>
      </c>
      <c r="G2" s="2" t="n">
        <v>1</v>
      </c>
      <c r="H2" s="4" t="n">
        <v>7000</v>
      </c>
      <c r="I2" s="2" t="inlineStr">
        <is>
          <t>COD - collected</t>
        </is>
      </c>
      <c r="J2" s="2" t="inlineStr">
        <is>
          <t>Delivered</t>
        </is>
      </c>
      <c r="K2" s="2" t="n"/>
      <c r="L2" s="4" t="n"/>
      <c r="M2" s="7" t="n"/>
      <c r="N2" s="2" t="inlineStr"/>
    </row>
    <row r="3">
      <c r="A3" s="7" t="inlineStr">
        <is>
          <t>2026-08-04</t>
        </is>
      </c>
      <c r="B3" s="2" t="inlineStr">
        <is>
          <t>ORD-8J7Q</t>
        </is>
      </c>
      <c r="C3" s="2" t="inlineStr">
        <is>
          <t>Website - COD</t>
        </is>
      </c>
      <c r="D3" s="2" t="inlineStr">
        <is>
          <t>Customer 2</t>
        </is>
      </c>
      <c r="E3" s="2" t="inlineStr">
        <is>
          <t>Secunderabad</t>
        </is>
      </c>
      <c r="F3" s="2" t="inlineStr">
        <is>
          <t>6988</t>
        </is>
      </c>
      <c r="G3" s="2" t="n">
        <v>1</v>
      </c>
      <c r="H3" s="4" t="n">
        <v>999</v>
      </c>
      <c r="I3" s="2" t="inlineStr">
        <is>
          <t>COD - collected</t>
        </is>
      </c>
      <c r="J3" s="2" t="inlineStr">
        <is>
          <t>Delivered</t>
        </is>
      </c>
      <c r="K3" s="2" t="n"/>
      <c r="L3" s="4" t="n"/>
      <c r="M3" s="7" t="n"/>
      <c r="N3" s="2" t="inlineStr"/>
    </row>
    <row r="4">
      <c r="A4" s="7" t="inlineStr">
        <is>
          <t>2026-08-05</t>
        </is>
      </c>
      <c r="B4" s="2" t="inlineStr">
        <is>
          <t>ORD-8L4R</t>
        </is>
      </c>
      <c r="C4" s="2" t="inlineStr">
        <is>
          <t>Website - Prepaid</t>
        </is>
      </c>
      <c r="D4" s="2" t="inlineStr">
        <is>
          <t>Customer 3</t>
        </is>
      </c>
      <c r="E4" s="2" t="inlineStr">
        <is>
          <t>Hyderabad</t>
        </is>
      </c>
      <c r="F4" s="2" t="inlineStr">
        <is>
          <t>lc-zf-rose</t>
        </is>
      </c>
      <c r="G4" s="2" t="n">
        <v>1</v>
      </c>
      <c r="H4" s="4" t="n">
        <v>35999</v>
      </c>
      <c r="I4" s="2" t="inlineStr">
        <is>
          <t>Refunded</t>
        </is>
      </c>
      <c r="J4" s="2" t="inlineStr">
        <is>
          <t>Delivered</t>
        </is>
      </c>
      <c r="K4" s="2" t="inlineStr">
        <is>
          <t>Refunded</t>
        </is>
      </c>
      <c r="L4" s="4" t="n">
        <v>35999</v>
      </c>
      <c r="M4" s="7" t="inlineStr">
        <is>
          <t>2026-08-14</t>
        </is>
      </c>
      <c r="N4" s="2" t="inlineStr">
        <is>
          <t>Size exchange requested; piece restocked after inspection — see Stock Log RET-8L4R</t>
        </is>
      </c>
    </row>
    <row r="5">
      <c r="A5" s="7" t="inlineStr">
        <is>
          <t>2026-08-07</t>
        </is>
      </c>
      <c r="B5" s="2" t="inlineStr">
        <is>
          <t>ORD-8N1D</t>
        </is>
      </c>
      <c r="C5" s="2" t="inlineStr">
        <is>
          <t>Website - COD</t>
        </is>
      </c>
      <c r="D5" s="2" t="inlineStr">
        <is>
          <t>Customer 4</t>
        </is>
      </c>
      <c r="E5" s="2" t="inlineStr">
        <is>
          <t>Warangal</t>
        </is>
      </c>
      <c r="F5" s="2" t="inlineStr">
        <is>
          <t>HA4536</t>
        </is>
      </c>
      <c r="G5" s="2" t="n">
        <v>1</v>
      </c>
      <c r="H5" s="4" t="n">
        <v>3800</v>
      </c>
      <c r="I5" s="2" t="inlineStr">
        <is>
          <t>COD - collected</t>
        </is>
      </c>
      <c r="J5" s="2" t="inlineStr">
        <is>
          <t>Delivered</t>
        </is>
      </c>
      <c r="K5" s="2" t="n"/>
      <c r="L5" s="4" t="n"/>
      <c r="M5" s="7" t="n"/>
      <c r="N5" s="2" t="inlineStr"/>
    </row>
    <row r="6">
      <c r="A6" s="7" t="inlineStr">
        <is>
          <t>2026-08-09</t>
        </is>
      </c>
      <c r="B6" s="2" t="inlineStr">
        <is>
          <t>ORD-8Q5S</t>
        </is>
      </c>
      <c r="C6" s="2" t="inlineStr">
        <is>
          <t>In Store</t>
        </is>
      </c>
      <c r="D6" s="2" t="inlineStr">
        <is>
          <t>Walk-in</t>
        </is>
      </c>
      <c r="E6" s="2" t="inlineStr">
        <is>
          <t>Hyderabad</t>
        </is>
      </c>
      <c r="F6" s="2" t="inlineStr">
        <is>
          <t>HA6320</t>
        </is>
      </c>
      <c r="G6" s="2" t="n">
        <v>1</v>
      </c>
      <c r="H6" s="4" t="n">
        <v>4800</v>
      </c>
      <c r="I6" s="2" t="inlineStr">
        <is>
          <t>Prepaid - paid</t>
        </is>
      </c>
      <c r="J6" s="2" t="inlineStr">
        <is>
          <t>Delivered</t>
        </is>
      </c>
      <c r="K6" s="2" t="n"/>
      <c r="L6" s="4" t="n"/>
      <c r="M6" s="7" t="n"/>
      <c r="N6" s="2" t="inlineStr">
        <is>
          <t>Studio walk-in</t>
        </is>
      </c>
    </row>
    <row r="7">
      <c r="A7" s="7" t="inlineStr">
        <is>
          <t>2026-08-11</t>
        </is>
      </c>
      <c r="B7" s="2" t="inlineStr">
        <is>
          <t>ORD-8T3M</t>
        </is>
      </c>
      <c r="C7" s="2" t="inlineStr">
        <is>
          <t>Website - COD</t>
        </is>
      </c>
      <c r="D7" s="2" t="inlineStr">
        <is>
          <t>Customer 5</t>
        </is>
      </c>
      <c r="E7" s="2" t="inlineStr">
        <is>
          <t>Vijayawada</t>
        </is>
      </c>
      <c r="F7" s="2" t="inlineStr">
        <is>
          <t>HA3858</t>
        </is>
      </c>
      <c r="G7" s="2" t="n">
        <v>1</v>
      </c>
      <c r="H7" s="4" t="n">
        <v>1299</v>
      </c>
      <c r="I7" s="2" t="inlineStr">
        <is>
          <t>COD - to collect</t>
        </is>
      </c>
      <c r="J7" s="2" t="inlineStr">
        <is>
          <t>Shipped</t>
        </is>
      </c>
      <c r="K7" s="2" t="n"/>
      <c r="L7" s="4" t="n"/>
      <c r="M7" s="7" t="n"/>
      <c r="N7" s="2" t="inlineStr"/>
    </row>
    <row r="8">
      <c r="A8" s="7" t="inlineStr">
        <is>
          <t>2026-08-13</t>
        </is>
      </c>
      <c r="B8" s="2" t="inlineStr">
        <is>
          <t>ORD-8V9A</t>
        </is>
      </c>
      <c r="C8" s="2" t="inlineStr">
        <is>
          <t>WhatsApp / DM</t>
        </is>
      </c>
      <c r="D8" s="2" t="inlineStr">
        <is>
          <t>Customer 6</t>
        </is>
      </c>
      <c r="E8" s="2" t="inlineStr">
        <is>
          <t>Hyderabad</t>
        </is>
      </c>
      <c r="F8" s="2" t="inlineStr">
        <is>
          <t>MI263</t>
        </is>
      </c>
      <c r="G8" s="2" t="n">
        <v>1</v>
      </c>
      <c r="H8" s="4" t="n">
        <v>450</v>
      </c>
      <c r="I8" s="2" t="inlineStr">
        <is>
          <t>Prepaid - paid</t>
        </is>
      </c>
      <c r="J8" s="2" t="inlineStr">
        <is>
          <t>Delivered</t>
        </is>
      </c>
      <c r="K8" s="2" t="n"/>
      <c r="L8" s="4" t="n"/>
      <c r="M8" s="7" t="n"/>
      <c r="N8" s="2" t="inlineStr">
        <is>
          <t>Instagram DM enquiry</t>
        </is>
      </c>
    </row>
  </sheetData>
  <autoFilter ref="A1:N400"/>
  <dataValidations count="4">
    <dataValidation sqref="C2:C400" showDropDown="0" showInputMessage="0" showErrorMessage="0" allowBlank="1" type="list">
      <formula1>Lists!$K$2:$K$6</formula1>
    </dataValidation>
    <dataValidation sqref="I2:I400" showDropDown="0" showInputMessage="0" showErrorMessage="0" allowBlank="1" type="list">
      <formula1>Lists!$L$2:$L$6</formula1>
    </dataValidation>
    <dataValidation sqref="J2:J400" showDropDown="0" showInputMessage="0" showErrorMessage="0" allowBlank="1" type="list">
      <formula1>Lists!$M$2:$M$6</formula1>
    </dataValidation>
    <dataValidation sqref="K2:K400" showDropDown="0" showInputMessage="0" showErrorMessage="0" allowBlank="1" type="list">
      <formula1>Lists!$N$2:$N$8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4" customWidth="1" min="1" max="1"/>
    <col width="62" customWidth="1" min="2" max="2"/>
    <col width="12" customWidth="1" min="3" max="3"/>
    <col width="12" customWidth="1" min="4" max="4"/>
    <col width="14" customWidth="1" min="5" max="5"/>
    <col width="11" customWidth="1" min="6" max="6"/>
    <col width="46" customWidth="1" min="7" max="7"/>
  </cols>
  <sheetData>
    <row r="1">
      <c r="A1" s="12" t="inlineStr">
        <is>
          <t>#</t>
        </is>
      </c>
      <c r="B1" s="12" t="inlineStr">
        <is>
          <t>Task</t>
        </is>
      </c>
      <c r="C1" s="12" t="inlineStr">
        <is>
          <t>Area</t>
        </is>
      </c>
      <c r="D1" s="12" t="inlineStr">
        <is>
          <t>Status</t>
        </is>
      </c>
      <c r="E1" s="12" t="inlineStr">
        <is>
          <t>Owner</t>
        </is>
      </c>
      <c r="F1" s="12" t="inlineStr">
        <is>
          <t>Done Date</t>
        </is>
      </c>
      <c r="G1" s="12" t="inlineStr">
        <is>
          <t>Notes</t>
        </is>
      </c>
    </row>
    <row r="2" ht="30" customHeight="1">
      <c r="A2" s="13" t="n">
        <v>1</v>
      </c>
      <c r="B2" s="8" t="inlineStr">
        <is>
          <t>Rotate the Firebase service-account key (Firebase Console → Project settings → Service accounts → generate new, delete old)</t>
        </is>
      </c>
      <c r="C2" s="13" t="inlineStr">
        <is>
          <t>Security</t>
        </is>
      </c>
      <c r="D2" s="13" t="inlineStr">
        <is>
          <t>Pending</t>
        </is>
      </c>
      <c r="E2" s="13" t="inlineStr">
        <is>
          <t>You</t>
        </is>
      </c>
      <c r="F2" s="13" t="n"/>
      <c r="G2" s="8" t="inlineStr">
        <is>
          <t>Current key was shared in chat — treat as exposed</t>
        </is>
      </c>
    </row>
    <row r="3" ht="30" customHeight="1">
      <c r="A3" s="13" t="n">
        <v>2</v>
      </c>
      <c r="B3" s="8" t="inlineStr">
        <is>
          <t>Regenerate the live Razorpay Key Secret; update RAZORPAY_KEY_SECRET in Vercel</t>
        </is>
      </c>
      <c r="C3" s="13" t="inlineStr">
        <is>
          <t>Security</t>
        </is>
      </c>
      <c r="D3" s="13" t="inlineStr">
        <is>
          <t>Pending</t>
        </is>
      </c>
      <c r="E3" s="13" t="inlineStr">
        <is>
          <t>You</t>
        </is>
      </c>
      <c r="F3" s="13" t="n"/>
      <c r="G3" s="8" t="inlineStr">
        <is>
          <t>Old secret appeared in a screenshot</t>
        </is>
      </c>
    </row>
    <row r="4" ht="30" customHeight="1">
      <c r="A4" s="13" t="n">
        <v>3</v>
      </c>
      <c r="B4" s="8" t="inlineStr">
        <is>
          <t>Paste VITE_GSTIN (from the GST certificate) into Vercel and redeploy</t>
        </is>
      </c>
      <c r="C4" s="13" t="inlineStr">
        <is>
          <t>Compliance</t>
        </is>
      </c>
      <c r="D4" s="13" t="inlineStr">
        <is>
          <t>Pending</t>
        </is>
      </c>
      <c r="E4" s="13" t="inlineStr">
        <is>
          <t>You</t>
        </is>
      </c>
      <c r="F4" s="13" t="n"/>
      <c r="G4" s="8" t="inlineStr">
        <is>
          <t>Until then invoices/footer omit the GSTIN by design</t>
        </is>
      </c>
    </row>
    <row r="5" ht="30" customHeight="1">
      <c r="A5" s="13" t="n">
        <v>4</v>
      </c>
      <c r="B5" s="8" t="inlineStr">
        <is>
          <t>Update VITE_BUSINESS_ADDRESS in Vercel to the full registered address (Gachibowli · 500046)</t>
        </is>
      </c>
      <c r="C5" s="13" t="inlineStr">
        <is>
          <t>Compliance</t>
        </is>
      </c>
      <c r="D5" s="13" t="inlineStr">
        <is>
          <t>Pending</t>
        </is>
      </c>
      <c r="E5" s="13" t="inlineStr">
        <is>
          <t>You</t>
        </is>
      </c>
      <c r="F5" s="13" t="n"/>
      <c r="G5" s="8" t="inlineStr">
        <is>
          <t>Must match the GST certificate on invoices</t>
        </is>
      </c>
    </row>
    <row r="6" ht="30" customHeight="1">
      <c r="A6" s="13" t="n">
        <v>5</v>
      </c>
      <c r="B6" s="8" t="inlineStr">
        <is>
          <t>Add CRON_SECRET + GOOGLE_REVIEW_URL in Vercel to switch on the review-request emails</t>
        </is>
      </c>
      <c r="C6" s="13" t="inlineStr">
        <is>
          <t>Marketing</t>
        </is>
      </c>
      <c r="D6" s="13" t="inlineStr">
        <is>
          <t>Pending</t>
        </is>
      </c>
      <c r="E6" s="13" t="inlineStr">
        <is>
          <t>You</t>
        </is>
      </c>
      <c r="F6" s="13" t="n"/>
      <c r="G6" s="8" t="inlineStr">
        <is>
          <t>Cron is deployed and waiting on these two values</t>
        </is>
      </c>
    </row>
    <row r="7" ht="30" customHeight="1">
      <c r="A7" s="13" t="n">
        <v>6</v>
      </c>
      <c r="B7" s="8" t="inlineStr">
        <is>
          <t>Create the free Microsoft Clarity project; paste VITE_CLARITY_PROJECT_ID into Vercel; redeploy</t>
        </is>
      </c>
      <c r="C7" s="13" t="inlineStr">
        <is>
          <t>Marketing</t>
        </is>
      </c>
      <c r="D7" s="13" t="inlineStr">
        <is>
          <t>Pending</t>
        </is>
      </c>
      <c r="E7" s="13" t="inlineStr">
        <is>
          <t>You</t>
        </is>
      </c>
      <c r="F7" s="13" t="n"/>
      <c r="G7" s="8" t="inlineStr">
        <is>
          <t>Heatmaps + session recordings, consent-gated</t>
        </is>
      </c>
    </row>
    <row r="8" ht="30" customHeight="1">
      <c r="A8" s="13" t="n">
        <v>7</v>
      </c>
      <c r="B8" s="8" t="inlineStr">
        <is>
          <t>Connect Google Search Console (Domain property, DNS TXT) and submit sitemap.xml</t>
        </is>
      </c>
      <c r="C8" s="13" t="inlineStr">
        <is>
          <t>SEO</t>
        </is>
      </c>
      <c r="D8" s="13" t="inlineStr">
        <is>
          <t>Pending</t>
        </is>
      </c>
      <c r="E8" s="13" t="inlineStr">
        <is>
          <t>You</t>
        </is>
      </c>
      <c r="F8" s="13" t="n"/>
      <c r="G8" s="8" t="inlineStr">
        <is>
          <t>62 real URLs are live and waiting to be indexed</t>
        </is>
      </c>
    </row>
    <row r="9" ht="30" customHeight="1">
      <c r="A9" s="13" t="n">
        <v>8</v>
      </c>
      <c r="B9" s="8" t="inlineStr">
        <is>
          <t>Request indexing for home, Lehenga Cholis category, and 2–3 product pages (URL Inspection)</t>
        </is>
      </c>
      <c r="C9" s="13" t="inlineStr">
        <is>
          <t>SEO</t>
        </is>
      </c>
      <c r="D9" s="13" t="inlineStr">
        <is>
          <t>Pending</t>
        </is>
      </c>
      <c r="E9" s="13" t="inlineStr">
        <is>
          <t>You</t>
        </is>
      </c>
      <c r="F9" s="13" t="n"/>
      <c r="G9" s="8" t="inlineStr">
        <is>
          <t>After Search Console verifies</t>
        </is>
      </c>
    </row>
    <row r="10" ht="30" customHeight="1">
      <c r="A10" s="13" t="n">
        <v>9</v>
      </c>
      <c r="B10" s="8" t="inlineStr">
        <is>
          <t>Google Business Profile: rewrite description (boutique, not fabric house), add secondary categories, In-store shopping, full address + PIN</t>
        </is>
      </c>
      <c r="C10" s="13" t="inlineStr">
        <is>
          <t>Marketing</t>
        </is>
      </c>
      <c r="D10" s="13" t="inlineStr">
        <is>
          <t>Pending</t>
        </is>
      </c>
      <c r="E10" s="13" t="inlineStr">
        <is>
          <t>You</t>
        </is>
      </c>
      <c r="F10" s="13" t="n"/>
      <c r="G10" s="8" t="inlineStr">
        <is>
          <t>Draft description was provided in chat</t>
        </is>
      </c>
    </row>
    <row r="11" ht="30" customHeight="1">
      <c r="A11" s="13" t="n">
        <v>10</v>
      </c>
      <c r="B11" s="8" t="inlineStr">
        <is>
          <t>Google Business Profile: upload logo, cover photo, 15–25 real photos; set hours; add Products</t>
        </is>
      </c>
      <c r="C11" s="13" t="inlineStr">
        <is>
          <t>Marketing</t>
        </is>
      </c>
      <c r="D11" s="13" t="inlineStr">
        <is>
          <t>Pending</t>
        </is>
      </c>
      <c r="E11" s="13" t="inlineStr">
        <is>
          <t>You</t>
        </is>
      </c>
      <c r="F11" s="13" t="n"/>
      <c r="G11" s="8" t="inlineStr">
        <is>
          <t>Profile strength currently 64%</t>
        </is>
      </c>
    </row>
    <row r="12" ht="30" customHeight="1">
      <c r="A12" s="13" t="n">
        <v>11</v>
      </c>
      <c r="B12" s="8" t="inlineStr">
        <is>
          <t>Collect the first 15–25 Google reviews (ask at handover + review-request email)</t>
        </is>
      </c>
      <c r="C12" s="13" t="inlineStr">
        <is>
          <t>Marketing</t>
        </is>
      </c>
      <c r="D12" s="13" t="inlineStr">
        <is>
          <t>Pending</t>
        </is>
      </c>
      <c r="E12" s="13" t="inlineStr">
        <is>
          <t>You</t>
        </is>
      </c>
      <c r="F12" s="13" t="n"/>
      <c r="G12" s="8" t="inlineStr">
        <is>
          <t>Zero reviews today — the #1 local ranking factor</t>
        </is>
      </c>
    </row>
    <row r="13" ht="30" customHeight="1">
      <c r="A13" s="13" t="n">
        <v>12</v>
      </c>
      <c r="B13" s="8" t="inlineStr">
        <is>
          <t>CA: confirm GST rates (5% vs 18% over ₹2,500/piece) and HSN codes per category</t>
        </is>
      </c>
      <c r="C13" s="13" t="inlineStr">
        <is>
          <t>Finance</t>
        </is>
      </c>
      <c r="D13" s="13" t="inlineStr">
        <is>
          <t>Pending</t>
        </is>
      </c>
      <c r="E13" s="13" t="inlineStr">
        <is>
          <t>CA</t>
        </is>
      </c>
      <c r="F13" s="13" t="n"/>
      <c r="G13" s="8" t="inlineStr">
        <is>
          <t>Then per-product rates get wired into checkout + invoices</t>
        </is>
      </c>
    </row>
    <row r="14" ht="30" customHeight="1">
      <c r="A14" s="13" t="n">
        <v>13</v>
      </c>
      <c r="B14" s="8" t="inlineStr">
        <is>
          <t>Replace illustrative buying prices in this workbook with real PO costs</t>
        </is>
      </c>
      <c r="C14" s="13" t="inlineStr">
        <is>
          <t>Finance</t>
        </is>
      </c>
      <c r="D14" s="13" t="inlineStr">
        <is>
          <t>Pending</t>
        </is>
      </c>
      <c r="E14" s="13" t="inlineStr">
        <is>
          <t>You</t>
        </is>
      </c>
      <c r="F14" s="13" t="n"/>
      <c r="G14" s="8" t="inlineStr">
        <is>
          <t>Blue cells on the Catalogue sheet</t>
        </is>
      </c>
    </row>
    <row r="15" ht="30" customHeight="1">
      <c r="A15" s="13" t="n">
        <v>14</v>
      </c>
      <c r="B15" s="8" t="inlineStr">
        <is>
          <t>Reshoot 3 product photos: HA6378, MI263, RI5687 (warehouse snapshots today)</t>
        </is>
      </c>
      <c r="C15" s="13" t="inlineStr">
        <is>
          <t>Catalogue</t>
        </is>
      </c>
      <c r="D15" s="13" t="inlineStr">
        <is>
          <t>Pending</t>
        </is>
      </c>
      <c r="E15" s="13" t="inlineStr">
        <is>
          <t>You</t>
        </is>
      </c>
      <c r="F15" s="13" t="n"/>
      <c r="G15" s="8" t="inlineStr">
        <is>
          <t>Flagged in Photo Quality column</t>
        </is>
      </c>
    </row>
    <row r="16" ht="30" customHeight="1">
      <c r="A16" s="13" t="n">
        <v>15</v>
      </c>
      <c r="B16" s="8" t="inlineStr">
        <is>
          <t>One live low-value Razorpay test payment after the key rotation</t>
        </is>
      </c>
      <c r="C16" s="13" t="inlineStr">
        <is>
          <t>Finance</t>
        </is>
      </c>
      <c r="D16" s="13" t="inlineStr">
        <is>
          <t>Pending</t>
        </is>
      </c>
      <c r="E16" s="13" t="inlineStr">
        <is>
          <t>You</t>
        </is>
      </c>
      <c r="F16" s="13" t="n"/>
      <c r="G16" s="8" t="inlineStr">
        <is>
          <t>Proves the full prepaid path end to end</t>
        </is>
      </c>
    </row>
    <row r="17" ht="30" customHeight="1">
      <c r="A17" s="13" t="n">
        <v>16</v>
      </c>
      <c r="B17" s="8" t="inlineStr">
        <is>
          <t>Open Google Ads account with the new-advertiser spend-match credit (Search only)</t>
        </is>
      </c>
      <c r="C17" s="13" t="inlineStr">
        <is>
          <t>Marketing</t>
        </is>
      </c>
      <c r="D17" s="13" t="inlineStr">
        <is>
          <t>Blocked</t>
        </is>
      </c>
      <c r="E17" s="13" t="inlineStr">
        <is>
          <t>You</t>
        </is>
      </c>
      <c r="F17" s="13" t="n"/>
      <c r="G17" s="8" t="inlineStr">
        <is>
          <t>Do AFTER reviews exist + GA4 conversions imported</t>
        </is>
      </c>
    </row>
    <row r="18" ht="30" customHeight="1">
      <c r="A18" s="13" t="n">
        <v>17</v>
      </c>
      <c r="B18" s="8" t="inlineStr">
        <is>
          <t>Set SENTRY_DSN in Vercel for server error alerting</t>
        </is>
      </c>
      <c r="C18" s="13" t="inlineStr">
        <is>
          <t>Operations</t>
        </is>
      </c>
      <c r="D18" s="13" t="inlineStr">
        <is>
          <t>Pending</t>
        </is>
      </c>
      <c r="E18" s="13" t="inlineStr">
        <is>
          <t>You</t>
        </is>
      </c>
      <c r="F18" s="13" t="n"/>
      <c r="G18" s="8" t="inlineStr">
        <is>
          <t>Hooks are wired on all 12 API functions, currently inert</t>
        </is>
      </c>
    </row>
    <row r="19" ht="30" customHeight="1">
      <c r="A19" s="13" t="n">
        <v>18</v>
      </c>
      <c r="B19" s="8" t="inlineStr">
        <is>
          <t>If exporting: IEC registration + LUT filing (zero-rated exports without paying IGST)</t>
        </is>
      </c>
      <c r="C19" s="13" t="inlineStr">
        <is>
          <t>Finance</t>
        </is>
      </c>
      <c r="D19" s="13" t="inlineStr">
        <is>
          <t>Pending</t>
        </is>
      </c>
      <c r="E19" s="13" t="inlineStr">
        <is>
          <t>CA</t>
        </is>
      </c>
      <c r="F19" s="13" t="n"/>
      <c r="G19" s="8" t="inlineStr">
        <is>
          <t>Only when international orders start</t>
        </is>
      </c>
    </row>
  </sheetData>
  <autoFilter ref="A1:G120"/>
  <conditionalFormatting sqref="D2:D120">
    <cfRule type="expression" priority="1" dxfId="2">
      <formula>$D2="Done"</formula>
    </cfRule>
    <cfRule type="expression" priority="2" dxfId="1">
      <formula>$D2="Pending"</formula>
    </cfRule>
    <cfRule type="expression" priority="3" dxfId="0">
      <formula>$D2="Blocked"</formula>
    </cfRule>
  </conditionalFormatting>
  <dataValidations count="2">
    <dataValidation sqref="C2:C120" showDropDown="0" showInputMessage="0" showErrorMessage="0" allowBlank="1" type="list">
      <formula1>Lists!$O$2:$O$8</formula1>
    </dataValidation>
    <dataValidation sqref="D2:D120" showDropDown="0" showInputMessage="0" showErrorMessage="0" allowBlank="1" type="list">
      <formula1>Lists!$P$2:$P$5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43"/>
  <sheetViews>
    <sheetView workbookViewId="0">
      <selection activeCell="A1" sqref="A1"/>
    </sheetView>
  </sheetViews>
  <sheetFormatPr baseColWidth="8" defaultRowHeight="15"/>
  <cols>
    <col width="4" customWidth="1" min="1" max="1"/>
    <col width="120" customWidth="1" min="2" max="2"/>
  </cols>
  <sheetData>
    <row r="2" ht="15" customHeight="1">
      <c r="B2" s="14" t="inlineStr">
        <is>
          <t>TRESOR COUTURE — MASTER CATALOGUE (read this page first)</t>
        </is>
      </c>
    </row>
    <row r="3" ht="15" customHeight="1">
      <c r="B3" s="15" t="inlineStr"/>
    </row>
    <row r="4" ht="15" customHeight="1">
      <c r="B4" s="14" t="inlineStr">
        <is>
          <t>WHAT EACH SHEET IS FOR</t>
        </is>
      </c>
    </row>
    <row r="5" ht="30" customHeight="1">
      <c r="B5" s="15" t="inlineStr">
        <is>
          <t>Catalogue = your products. One row per item you sell. This is where prices, stock and photos live.</t>
        </is>
      </c>
    </row>
    <row r="6" ht="30" customHeight="1">
      <c r="B6" s="15" t="inlineStr">
        <is>
          <t>Stock Log = a diary of stock. Every time stock moves — in or out — you add ONE line at the bottom. You never edit old lines.</t>
        </is>
      </c>
    </row>
    <row r="7" ht="30" customHeight="1">
      <c r="B7" s="15" t="inlineStr">
        <is>
          <t>Orders &amp; Returns = your orders. One row per customer order. Refunds and return progress are tracked HERE, because a refund is about money, not stock.</t>
        </is>
      </c>
    </row>
    <row r="8" ht="30" customHeight="1">
      <c r="B8" s="15" t="inlineStr">
        <is>
          <t>Action Tracker = your to-do list. Filter the Status column to "Pending" to see everything left to do; set it to "Done" with a date when finished.</t>
        </is>
      </c>
    </row>
    <row r="9" ht="30" customHeight="1">
      <c r="B9" s="15" t="inlineStr">
        <is>
          <t>Lists = the options inside every dropdown. Add a new supplier or category here once and every dropdown learns it.</t>
        </is>
      </c>
    </row>
    <row r="10" ht="15" customHeight="1">
      <c r="B10" s="15" t="inlineStr"/>
    </row>
    <row r="11" ht="15" customHeight="1">
      <c r="B11" s="14" t="inlineStr">
        <is>
          <t>UPLOADING THIS SHEET TO THE WEBSITE</t>
        </is>
      </c>
    </row>
    <row r="12" ht="30" customHeight="1">
      <c r="B12" s="15" t="inlineStr">
        <is>
          <t>This workbook is not just a record — the Catalogue sheet can be imported straight into the website. Product ID is the key: a new ID creates a product, an existing ID updates it. Nothing is ever deleted by an import.</t>
        </is>
      </c>
    </row>
    <row r="13" ht="30" customHeight="1">
      <c r="B13" s="15" t="inlineStr">
        <is>
          <t>Every product you import gets its own barcode (TC00001, TC00002, …) automatically, and you can print the labels from Admin → Inventory → Print labels. A product keeps the same barcode forever, so re-importing is safe.</t>
        </is>
      </c>
    </row>
    <row r="14" ht="30" customHeight="1">
      <c r="B14" s="15" t="inlineStr">
        <is>
          <t>Description = what the customer reads on the product page and what Google indexes. Two or three real sentences per product. Leave it blank and the import keeps whatever the site already has — a blank cell never wipes existing copy.</t>
        </is>
      </c>
    </row>
    <row r="15" ht="30" customHeight="1">
      <c r="B15" s="15" t="inlineStr">
        <is>
          <t>Listing Status decides what shoppers see. "Active" = on the website. "Draft" = in the system (stock, barcode, counter billing) but NOT on the website. "Retired" = taken down. No photo yet? Leave Image URL blank — the import files it as Draft on its own, so you can register the whole store now and publish each piece the day it is photographed.</t>
        </is>
      </c>
    </row>
    <row r="16" ht="15" customHeight="1">
      <c r="B16" s="15" t="inlineStr"/>
    </row>
    <row r="17" ht="15" customHeight="1">
      <c r="B17" s="14" t="inlineStr">
        <is>
          <t>THE STOCK LOG, EXPLAINED SIMPLY</t>
        </is>
      </c>
    </row>
    <row r="18" ht="30" customHeight="1">
      <c r="B18" s="15" t="inlineStr">
        <is>
          <t>Think of it as a bank passbook, but for stock instead of money. Stock coming in = deposit (+). Stock going out = withdrawal (−). The "Stock After" column is the balance after each line — watch it go 5 → 4 → 5 for a lehenga that was sold and then returned.</t>
        </is>
      </c>
    </row>
    <row r="19" ht="30" customHeight="1">
      <c r="B19" s="15" t="inlineStr">
        <is>
          <t>You only ever ADD a line at the bottom. The Catalogue compares this diary against the Stock Qty column and shows a red CHECK if they ever disagree — that is how you catch a movement nobody wrote down.</t>
        </is>
      </c>
    </row>
    <row r="20" ht="15" customHeight="1">
      <c r="B20" s="15" t="inlineStr"/>
    </row>
    <row r="21" ht="15" customHeight="1">
      <c r="B21" s="14" t="inlineStr">
        <is>
          <t>WHICH LINE DO I ADD WHEN… (every scenario)</t>
        </is>
      </c>
    </row>
    <row r="22" ht="30" customHeight="1">
      <c r="B22" s="15" t="inlineStr">
        <is>
          <t>New stock arrives from a supplier  →  "Received (new stock)", qty +N, reference = PO number.</t>
        </is>
      </c>
    </row>
    <row r="23" ht="30" customHeight="1">
      <c r="B23" s="15" t="inlineStr">
        <is>
          <t>Someone buys on the website  →  "Sold - Online", qty −1, reference = order number. Also add the order on the Orders &amp; Returns sheet.</t>
        </is>
      </c>
    </row>
    <row r="24" ht="30" customHeight="1">
      <c r="B24" s="15" t="inlineStr">
        <is>
          <t>Someone buys at the studio  →  "Sold - In Store", qty −1.</t>
        </is>
      </c>
    </row>
    <row r="25" ht="30" customHeight="1">
      <c r="B25" s="15" t="inlineStr">
        <is>
          <t>An export / international order ships  →  "Sold - Export", qty −1. (GST is zero-rated on exports — flag it to your CA.)</t>
        </is>
      </c>
    </row>
    <row r="26" ht="30" customHeight="1">
      <c r="B26" s="15" t="inlineStr">
        <is>
          <t>A customer returns an item and it is resellable  →  "Returned (back to stock)", qty +1. The REFUND goes on the Orders &amp; Returns sheet, not here.</t>
        </is>
      </c>
    </row>
    <row r="27" ht="30" customHeight="1">
      <c r="B27" s="15" t="inlineStr">
        <is>
          <t>A customer returns an item and it is damaged  →  add NOTHING here (stock is not coming back); record the refund on Orders &amp; Returns; optionally "Damaged / Write-off" if it was restocked first.</t>
        </is>
      </c>
    </row>
    <row r="28" ht="30" customHeight="1">
      <c r="B28" s="15" t="inlineStr">
        <is>
          <t>An item is damaged / lost in the studio  →  "Damaged / Write-off", qty −1.</t>
        </is>
      </c>
    </row>
    <row r="29" ht="30" customHeight="1">
      <c r="B29" s="15" t="inlineStr">
        <is>
          <t>You gift a piece or send a sample  →  "Sample / Gift", qty −1.</t>
        </is>
      </c>
    </row>
    <row r="30" ht="30" customHeight="1">
      <c r="B30" s="15" t="inlineStr">
        <is>
          <t>A physical count finds the sheet is wrong  →  "Count correction", qty +/− the difference, note why.</t>
        </is>
      </c>
    </row>
    <row r="31" ht="15" customHeight="1">
      <c r="B31" s="15" t="inlineStr"/>
    </row>
    <row r="32" ht="15" customHeight="1">
      <c r="B32" s="14" t="inlineStr">
        <is>
          <t>REFUNDS IN ONE SENTENCE</t>
        </is>
      </c>
    </row>
    <row r="33" ht="30" customHeight="1">
      <c r="B33" s="15" t="inlineStr">
        <is>
          <t>Money out = Orders &amp; Returns sheet (Refund column). Item back on the shelf = one "+1 Returned" line in the Stock Log. A refund with no restockable item touches ONLY the Orders sheet.</t>
        </is>
      </c>
    </row>
    <row r="34" ht="15" customHeight="1">
      <c r="B34" s="15" t="inlineStr"/>
    </row>
    <row r="35" ht="15" customHeight="1">
      <c r="B35" s="14" t="inlineStr">
        <is>
          <t>HOW TO FILTER</t>
        </is>
      </c>
    </row>
    <row r="36" ht="30" customHeight="1">
      <c r="B36" s="15" t="inlineStr">
        <is>
          <t>Every sheet already has filter arrows in row 1. Examples: Action Tracker → Status arrow → tick "Pending" = everything still to do. Stock Log → Product ID arrow → one product = that product's full history. Orders &amp; Returns → Return Status arrow = all open returns.</t>
        </is>
      </c>
    </row>
    <row r="37" ht="15" customHeight="1">
      <c r="B37" s="15" t="inlineStr"/>
    </row>
    <row r="38" ht="15" customHeight="1">
      <c r="B38" s="14" t="inlineStr">
        <is>
          <t>CELL COLOURS</t>
        </is>
      </c>
    </row>
    <row r="39" ht="30" customHeight="1">
      <c r="B39" s="15" t="inlineStr">
        <is>
          <t>Blue text = numbers you typed (e.g. Buying Price). Black = calculated for you — do not overwrite (Margin %, Stock Status, Stock After, Log Match).</t>
        </is>
      </c>
    </row>
    <row r="40" ht="30" customHeight="1">
      <c r="B40" s="15" t="inlineStr">
        <is>
          <t>Red fill = out of stock, or the log disagrees with the stock column. Amber = at/below reorder level, or a Pending task. Green = a Done task.</t>
        </is>
      </c>
    </row>
    <row r="41" ht="15" customHeight="1">
      <c r="B41" s="15" t="inlineStr"/>
    </row>
    <row r="42" ht="15" customHeight="1">
      <c r="B42" s="14" t="inlineStr">
        <is>
          <t>ASSUMPTIONS IN THE SAMPLE FILE</t>
        </is>
      </c>
    </row>
    <row r="43" ht="30" customHeight="1">
      <c r="B43" s="15" t="inlineStr">
        <is>
          <t>Buying prices are ILLUSTRATIVE (the website database stores no cost prices yet) — replace with real PO costs. GST is left at 5% with HSN blank pending your CA; garments above ₹2,500/piece likely attract 18%. The orders and stock movements are format examples using your real products and current stock levels. Generated from the live site database on 2026-08-16.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s>
  <sheetData>
    <row r="1">
      <c r="B1" s="12" t="inlineStr">
        <is>
          <t>Material</t>
        </is>
      </c>
      <c r="C1" s="12" t="inlineStr">
        <is>
          <t>Unit Type</t>
        </is>
      </c>
      <c r="D1" s="12" t="inlineStr">
        <is>
          <t>GST Rate</t>
        </is>
      </c>
      <c r="E1" s="12" t="inlineStr">
        <is>
          <t>Photo Quality</t>
        </is>
      </c>
      <c r="F1" s="12" t="inlineStr">
        <is>
          <t>Live on Site</t>
        </is>
      </c>
      <c r="G1" s="12" t="inlineStr">
        <is>
          <t>Listing Status</t>
        </is>
      </c>
      <c r="H1" s="12" t="inlineStr">
        <is>
          <t>Sticker</t>
        </is>
      </c>
      <c r="I1" s="12" t="inlineStr">
        <is>
          <t>Movement</t>
        </is>
      </c>
      <c r="J1" s="12" t="inlineStr">
        <is>
          <t>Supplier</t>
        </is>
      </c>
      <c r="K1" s="12" t="inlineStr">
        <is>
          <t>Channel</t>
        </is>
      </c>
      <c r="L1" s="12" t="inlineStr">
        <is>
          <t>Payment</t>
        </is>
      </c>
      <c r="M1" s="12" t="inlineStr">
        <is>
          <t>Fulfilment</t>
        </is>
      </c>
      <c r="N1" s="12" t="inlineStr">
        <is>
          <t>Return Status</t>
        </is>
      </c>
      <c r="O1" s="12" t="inlineStr">
        <is>
          <t>Task Area</t>
        </is>
      </c>
      <c r="P1" s="12" t="inlineStr">
        <is>
          <t>Task Status</t>
        </is>
      </c>
    </row>
    <row r="2">
      <c r="A2" s="11" t="inlineStr">
        <is>
          <t>Fabrics</t>
        </is>
      </c>
      <c r="B2" s="11" t="inlineStr">
        <is>
          <t>Silk</t>
        </is>
      </c>
      <c r="C2" s="11" t="inlineStr">
        <is>
          <t>unit</t>
        </is>
      </c>
      <c r="D2" s="16" t="n">
        <v>0</v>
      </c>
      <c r="E2" s="11" t="inlineStr">
        <is>
          <t>Studio</t>
        </is>
      </c>
      <c r="F2" s="11" t="inlineStr">
        <is>
          <t>Yes</t>
        </is>
      </c>
      <c r="G2" s="11" t="inlineStr">
        <is>
          <t>Active</t>
        </is>
      </c>
      <c r="H2" s="11" t="inlineStr">
        <is>
          <t>New In</t>
        </is>
      </c>
      <c r="I2" s="11" t="inlineStr">
        <is>
          <t>Opening stock</t>
        </is>
      </c>
      <c r="J2" s="11" t="inlineStr">
        <is>
          <t>Supplier A (rename me)</t>
        </is>
      </c>
      <c r="K2" s="11" t="inlineStr">
        <is>
          <t>Website - COD</t>
        </is>
      </c>
      <c r="L2" s="11" t="inlineStr">
        <is>
          <t>COD - to collect</t>
        </is>
      </c>
      <c r="M2" s="11" t="inlineStr">
        <is>
          <t>Placed</t>
        </is>
      </c>
      <c r="N2" s="11" t="inlineStr">
        <is>
          <t>Requested</t>
        </is>
      </c>
      <c r="O2" s="11" t="inlineStr">
        <is>
          <t>Marketing</t>
        </is>
      </c>
      <c r="P2" s="11" t="inlineStr">
        <is>
          <t>Pending</t>
        </is>
      </c>
    </row>
    <row r="3">
      <c r="A3" s="11" t="inlineStr">
        <is>
          <t>Dyeable Fabrics</t>
        </is>
      </c>
      <c r="B3" s="11" t="inlineStr">
        <is>
          <t>Silk blend</t>
        </is>
      </c>
      <c r="C3" s="11" t="inlineStr">
        <is>
          <t>per meter</t>
        </is>
      </c>
      <c r="D3" s="16" t="n">
        <v>0.05</v>
      </c>
      <c r="E3" s="11" t="inlineStr">
        <is>
          <t>Acceptable</t>
        </is>
      </c>
      <c r="F3" s="11" t="inlineStr">
        <is>
          <t>No</t>
        </is>
      </c>
      <c r="G3" s="11" t="inlineStr">
        <is>
          <t>Draft</t>
        </is>
      </c>
      <c r="H3" s="11" t="inlineStr">
        <is>
          <t>Bestseller</t>
        </is>
      </c>
      <c r="I3" s="11" t="inlineStr">
        <is>
          <t>Received (new stock)</t>
        </is>
      </c>
      <c r="J3" s="11" t="inlineStr">
        <is>
          <t>Supplier B (rename me)</t>
        </is>
      </c>
      <c r="K3" s="11" t="inlineStr">
        <is>
          <t>Website - Prepaid</t>
        </is>
      </c>
      <c r="L3" s="11" t="inlineStr">
        <is>
          <t>COD - collected</t>
        </is>
      </c>
      <c r="M3" s="11" t="inlineStr">
        <is>
          <t>Packed</t>
        </is>
      </c>
      <c r="N3" s="11" t="inlineStr">
        <is>
          <t>Approved</t>
        </is>
      </c>
      <c r="O3" s="11" t="inlineStr">
        <is>
          <t>SEO</t>
        </is>
      </c>
      <c r="P3" s="11" t="inlineStr">
        <is>
          <t>In progress</t>
        </is>
      </c>
    </row>
    <row r="4">
      <c r="A4" s="11" t="inlineStr">
        <is>
          <t>Laces</t>
        </is>
      </c>
      <c r="B4" s="11" t="inlineStr">
        <is>
          <t>Cotton</t>
        </is>
      </c>
      <c r="C4" s="11" t="inlineStr">
        <is>
          <t>bundle</t>
        </is>
      </c>
      <c r="D4" s="16" t="n">
        <v>0.12</v>
      </c>
      <c r="E4" s="11" t="inlineStr">
        <is>
          <t>Needs reshoot</t>
        </is>
      </c>
      <c r="G4" s="11" t="inlineStr">
        <is>
          <t>Retired</t>
        </is>
      </c>
      <c r="H4" s="11" t="inlineStr">
        <is>
          <t>Trending</t>
        </is>
      </c>
      <c r="I4" s="11" t="inlineStr">
        <is>
          <t>Sold - Online</t>
        </is>
      </c>
      <c r="J4" s="11" t="inlineStr">
        <is>
          <t>Atelier — own production</t>
        </is>
      </c>
      <c r="K4" s="11" t="inlineStr">
        <is>
          <t>In Store</t>
        </is>
      </c>
      <c r="L4" s="11" t="inlineStr">
        <is>
          <t>Prepaid - paid</t>
        </is>
      </c>
      <c r="M4" s="11" t="inlineStr">
        <is>
          <t>Shipped</t>
        </is>
      </c>
      <c r="N4" s="11" t="inlineStr">
        <is>
          <t>Pickup arranged</t>
        </is>
      </c>
      <c r="O4" s="11" t="inlineStr">
        <is>
          <t>Compliance</t>
        </is>
      </c>
      <c r="P4" s="11" t="inlineStr">
        <is>
          <t>Blocked</t>
        </is>
      </c>
    </row>
    <row r="5">
      <c r="A5" s="11" t="inlineStr">
        <is>
          <t>Sarees</t>
        </is>
      </c>
      <c r="B5" s="11" t="inlineStr">
        <is>
          <t>Wool</t>
        </is>
      </c>
      <c r="D5" s="16" t="n">
        <v>0.18</v>
      </c>
      <c r="H5" s="11" t="inlineStr">
        <is>
          <t>Limited</t>
        </is>
      </c>
      <c r="I5" s="11" t="inlineStr">
        <is>
          <t>Sold - In Store</t>
        </is>
      </c>
      <c r="K5" s="11" t="inlineStr">
        <is>
          <t>WhatsApp / DM</t>
        </is>
      </c>
      <c r="L5" s="11" t="inlineStr">
        <is>
          <t>Refunded</t>
        </is>
      </c>
      <c r="M5" s="11" t="inlineStr">
        <is>
          <t>Delivered</t>
        </is>
      </c>
      <c r="N5" s="11" t="inlineStr">
        <is>
          <t>Received back</t>
        </is>
      </c>
      <c r="O5" s="11" t="inlineStr">
        <is>
          <t>Finance</t>
        </is>
      </c>
      <c r="P5" s="11" t="inlineStr">
        <is>
          <t>Done</t>
        </is>
      </c>
    </row>
    <row r="6">
      <c r="A6" s="11" t="inlineStr">
        <is>
          <t>One Minute Saree</t>
        </is>
      </c>
      <c r="B6" s="11" t="inlineStr">
        <is>
          <t>Linen</t>
        </is>
      </c>
      <c r="I6" s="11" t="inlineStr">
        <is>
          <t>Sold - Export</t>
        </is>
      </c>
      <c r="K6" s="11" t="inlineStr">
        <is>
          <t>Export</t>
        </is>
      </c>
      <c r="L6" s="11" t="inlineStr">
        <is>
          <t>Partly refunded</t>
        </is>
      </c>
      <c r="M6" s="11" t="inlineStr">
        <is>
          <t>Cancelled</t>
        </is>
      </c>
      <c r="N6" s="11" t="inlineStr">
        <is>
          <t>Refunded</t>
        </is>
      </c>
      <c r="O6" s="11" t="inlineStr">
        <is>
          <t>Catalogue</t>
        </is>
      </c>
    </row>
    <row r="7">
      <c r="A7" s="11" t="inlineStr">
        <is>
          <t>Half Saree</t>
        </is>
      </c>
      <c r="B7" s="11" t="inlineStr">
        <is>
          <t>Satin</t>
        </is>
      </c>
      <c r="I7" s="11" t="inlineStr">
        <is>
          <t>Returned (back to stock)</t>
        </is>
      </c>
      <c r="N7" s="11" t="inlineStr">
        <is>
          <t>Replaced</t>
        </is>
      </c>
      <c r="O7" s="11" t="inlineStr">
        <is>
          <t>Security</t>
        </is>
      </c>
    </row>
    <row r="8">
      <c r="A8" s="11" t="inlineStr">
        <is>
          <t>Lehenga Cholis</t>
        </is>
      </c>
      <c r="B8" s="11" t="inlineStr">
        <is>
          <t>Net</t>
        </is>
      </c>
      <c r="I8" s="11" t="inlineStr">
        <is>
          <t>Damaged / Write-off</t>
        </is>
      </c>
      <c r="N8" s="11" t="inlineStr">
        <is>
          <t>Rejected</t>
        </is>
      </c>
      <c r="O8" s="11" t="inlineStr">
        <is>
          <t>Operations</t>
        </is>
      </c>
    </row>
    <row r="9">
      <c r="A9" s="11" t="inlineStr">
        <is>
          <t>Langha Jacket</t>
        </is>
      </c>
      <c r="B9" s="11" t="inlineStr">
        <is>
          <t>Georgette</t>
        </is>
      </c>
      <c r="I9" s="11" t="inlineStr">
        <is>
          <t>Sample / Gift</t>
        </is>
      </c>
    </row>
    <row r="10">
      <c r="A10" s="11" t="inlineStr">
        <is>
          <t>Anarkalis</t>
        </is>
      </c>
      <c r="B10" s="11" t="inlineStr">
        <is>
          <t>Organza</t>
        </is>
      </c>
      <c r="I10" s="11" t="inlineStr">
        <is>
          <t>Count correction</t>
        </is>
      </c>
    </row>
    <row r="11">
      <c r="A11" s="11" t="inlineStr">
        <is>
          <t>Gown</t>
        </is>
      </c>
      <c r="B11" s="11" t="inlineStr">
        <is>
          <t>Mixed</t>
        </is>
      </c>
    </row>
    <row r="12">
      <c r="A12" s="11" t="inlineStr">
        <is>
          <t>Three Piece Set</t>
        </is>
      </c>
    </row>
    <row r="13">
      <c r="A13" s="11" t="inlineStr">
        <is>
          <t>Ethnic Wear</t>
        </is>
      </c>
    </row>
    <row r="14">
      <c r="A14" s="11" t="inlineStr">
        <is>
          <t>Masakhali</t>
        </is>
      </c>
    </row>
    <row r="15">
      <c r="A15" s="11" t="inlineStr">
        <is>
          <t>Western Wear</t>
        </is>
      </c>
    </row>
    <row r="16">
      <c r="A16" s="11" t="inlineStr">
        <is>
          <t>Studios Prêt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2026-08-17T08:42:47Z</dcterms:created>
  <dcterms:modified xsi:type="dcterms:W3CDTF">2026-08-17T08:42:47Z</dcterms:modified>
</cp:coreProperties>
</file>